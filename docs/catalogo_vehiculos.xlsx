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codeName="ThisWorkbook"/>
  <mc:AlternateContent xmlns:mc="http://schemas.openxmlformats.org/markup-compatibility/2006">
    <mc:Choice Requires="x15">
      <x15ac:absPath xmlns:x15ac="http://schemas.microsoft.com/office/spreadsheetml/2010/11/ac" url="https://camalmusalem.sharepoint.com/sites/TOYOTA_MUSALEM/MUSALEM/VENTAS/"/>
    </mc:Choice>
  </mc:AlternateContent>
  <xr:revisionPtr revIDLastSave="185" documentId="13_ncr:1_{85358A0F-780A-44E9-85C9-0C2D4A1575D1}" xr6:coauthVersionLast="47" xr6:coauthVersionMax="47" xr10:uidLastSave="{EA4FF0DA-99DA-4AB4-8710-9453510ED53D}"/>
  <bookViews>
    <workbookView xWindow="-108" yWindow="-108" windowWidth="23256" windowHeight="13896" activeTab="1" xr2:uid="{00000000-000D-0000-FFFF-FFFF00000000}"/>
  </bookViews>
  <sheets>
    <sheet name="Catálogo vehículos" sheetId="1" r:id="rId1"/>
    <sheet name="Catalogo Vehiculos Seminuevos" sheetId="2" r:id="rId2"/>
    <sheet name="Catalogo Repuestos" sheetId="3" r:id="rId3"/>
    <sheet name="Catalogo Accesorios" sheetId="5" r:id="rId4"/>
    <sheet name="Catalogo Merch" sheetId="4" r:id="rId5"/>
  </sheets>
  <definedNames>
    <definedName name="_xlnm._FilterDatabase" localSheetId="0" hidden="1">'Catálogo vehículos'!$A$1:$CA$1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4" i="2" l="1"/>
  <c r="L3" i="2"/>
</calcChain>
</file>

<file path=xl/sharedStrings.xml><?xml version="1.0" encoding="utf-8"?>
<sst xmlns="http://schemas.openxmlformats.org/spreadsheetml/2006/main" count="531" uniqueCount="332">
  <si>
    <t>ID</t>
  </si>
  <si>
    <t>Marca</t>
  </si>
  <si>
    <t>Modelo</t>
  </si>
  <si>
    <t>Tipo carrocería</t>
  </si>
  <si>
    <t>Segmento</t>
  </si>
  <si>
    <t>Generación</t>
  </si>
  <si>
    <t>Trim / Versión</t>
  </si>
  <si>
    <t>Año</t>
  </si>
  <si>
    <t>Código ventas</t>
  </si>
  <si>
    <t>Activo</t>
  </si>
  <si>
    <t>Precio lista (CLP)</t>
  </si>
  <si>
    <t>Imagen hero</t>
  </si>
  <si>
    <t>Propulsión</t>
  </si>
  <si>
    <t>Tracción</t>
  </si>
  <si>
    <t>Transmisión</t>
  </si>
  <si>
    <t>N° velocidades</t>
  </si>
  <si>
    <t>Código motor</t>
  </si>
  <si>
    <t>Cilindros</t>
  </si>
  <si>
    <t>Configuración</t>
  </si>
  <si>
    <t>Cilindrada (cc)</t>
  </si>
  <si>
    <t>Relación compresión</t>
  </si>
  <si>
    <t>Alimentación</t>
  </si>
  <si>
    <t>Potencia (HP)</t>
  </si>
  <si>
    <t>Potencia RPM</t>
  </si>
  <si>
    <t>Torque (Nm)</t>
  </si>
  <si>
    <t>Torque RPM min</t>
  </si>
  <si>
    <t>Torque RPM max</t>
  </si>
  <si>
    <t>Combustible motor</t>
  </si>
  <si>
    <t>Norma emisiones</t>
  </si>
  <si>
    <t>Motor eléctrico tipo</t>
  </si>
  <si>
    <t>Motor delantero (kW)</t>
  </si>
  <si>
    <t>Motor trasero (kW)</t>
  </si>
  <si>
    <t>Potencia combinada (kW)</t>
  </si>
  <si>
    <t>Potencia combinada (HP)</t>
  </si>
  <si>
    <t>Tipo batería</t>
  </si>
  <si>
    <t>Capacidad batería (kWh)</t>
  </si>
  <si>
    <t>Autonomía WLTC (km)</t>
  </si>
  <si>
    <t>Carga AC (kW)</t>
  </si>
  <si>
    <t>Carga DC (kW)</t>
  </si>
  <si>
    <t>Conector de carga</t>
  </si>
  <si>
    <t>Largo (mm)</t>
  </si>
  <si>
    <t>Ancho (mm)</t>
  </si>
  <si>
    <t>Alto (mm)</t>
  </si>
  <si>
    <t>Distancia ejes (mm)</t>
  </si>
  <si>
    <t>Despeje (mm)</t>
  </si>
  <si>
    <t>Ángulo ataque</t>
  </si>
  <si>
    <t>Ángulo salida</t>
  </si>
  <si>
    <t>Vadeo (mm)</t>
  </si>
  <si>
    <t>Radio giro (mm)</t>
  </si>
  <si>
    <t>Peso vacío (kg)</t>
  </si>
  <si>
    <t>Peso bruto (kg)</t>
  </si>
  <si>
    <t>Asientos</t>
  </si>
  <si>
    <t>Maletero (L)</t>
  </si>
  <si>
    <t>Estanque combustible (L)</t>
  </si>
  <si>
    <t>Remolque con freno (kg)</t>
  </si>
  <si>
    <t>Carga útil (kg)</t>
  </si>
  <si>
    <t>Consumo ciudad (km/l)</t>
  </si>
  <si>
    <t>Consumo carretera (km/l)</t>
  </si>
  <si>
    <t>Consumo mixto (km/l)</t>
  </si>
  <si>
    <t>Emisiones CO₂ (g/km)</t>
  </si>
  <si>
    <t>0-100 km/h (s)</t>
  </si>
  <si>
    <t>Velocidad máxima (km/h)</t>
  </si>
  <si>
    <t>Etiqueta eficiencia</t>
  </si>
  <si>
    <t>Dirección</t>
  </si>
  <si>
    <t>Suspensión delantera</t>
  </si>
  <si>
    <t>Suspensión trasera</t>
  </si>
  <si>
    <t>Frenos delanteros</t>
  </si>
  <si>
    <t>Frenos traseros</t>
  </si>
  <si>
    <t>Neumático</t>
  </si>
  <si>
    <t>Llantas (pulg.)</t>
  </si>
  <si>
    <t>Material llanta</t>
  </si>
  <si>
    <t>Seguridad</t>
  </si>
  <si>
    <t>Toyota Safety Sense</t>
  </si>
  <si>
    <t>Confort</t>
  </si>
  <si>
    <t>Infoentretenimiento</t>
  </si>
  <si>
    <t>Interior</t>
  </si>
  <si>
    <t>Exterior</t>
  </si>
  <si>
    <t>Off-road</t>
  </si>
  <si>
    <t>Colores disponibles</t>
  </si>
  <si>
    <t>Toyota</t>
  </si>
  <si>
    <t>RAV4</t>
  </si>
  <si>
    <t>suv</t>
  </si>
  <si>
    <t>SUV mediano</t>
  </si>
  <si>
    <t>XSE AWD Híbrido</t>
  </si>
  <si>
    <t>Sí</t>
  </si>
  <si>
    <t>hybrid</t>
  </si>
  <si>
    <t>awd</t>
  </si>
  <si>
    <t>eCVT</t>
  </si>
  <si>
    <t>en línea</t>
  </si>
  <si>
    <t>gasoline</t>
  </si>
  <si>
    <t>Híbrido autorecargable</t>
  </si>
  <si>
    <t>Eléctrica</t>
  </si>
  <si>
    <t>Independiente tipo McPherson</t>
  </si>
  <si>
    <t>Tipo trailing arm</t>
  </si>
  <si>
    <t>Discos 16''</t>
  </si>
  <si>
    <t>235/50R20</t>
  </si>
  <si>
    <t>aleación</t>
  </si>
  <si>
    <t>Frenos ABS, Control de estabilidad (VSC), Asistente de partida en pendiente (HAC), Asistente de descenso (DAC), Airbag conductor, Airbag pasajero, Airbags laterales, Airbags de cortina, Airbag de rodilla, Anclajes ISOFIX</t>
  </si>
  <si>
    <t>Control crucero adaptativo (DRCC), Asistente trazado de carril (LTA), Sistema pre-colisión (PCS), Luces altas automáticas (AHB), Monitor punto ciego (BSM), Frenado asistido estacionamiento (PKSB)</t>
  </si>
  <si>
    <t>Llave inteligente, Encendido por botón, Climatizador bi-zona, Asientos calefaccionados, Asientos ventilados, Asiento conductor eléctrico, Asientos con memoria, Freno estacionamiento eléctrico, Sensor de lluvia, Entrada sin llave</t>
  </si>
  <si>
    <t>Pantalla táctil 10.1", Apple CarPlay, Android Auto, Bluetooth, Cargador inalámbrico</t>
  </si>
  <si>
    <t>Cuero sintético</t>
  </si>
  <si>
    <t>Faros LED, Encendido automático de luces, Cámara de retroceso, Cámara 360° (PVM), Sensores estacionamiento delanteros, Sensores estacionamiento traseros, Portalón eléctrico, Barras portaequipaje</t>
  </si>
  <si>
    <t>Corolla Cross</t>
  </si>
  <si>
    <t>SUV compacto</t>
  </si>
  <si>
    <t>SEG HV</t>
  </si>
  <si>
    <t>fwd</t>
  </si>
  <si>
    <t>McPherson</t>
  </si>
  <si>
    <t>Barra de Torsión</t>
  </si>
  <si>
    <t>Disco Ventilado</t>
  </si>
  <si>
    <t>Disco Sólido</t>
  </si>
  <si>
    <t>225/50 R18</t>
  </si>
  <si>
    <t>Frenos ABS, Distribución electrónica de frenado (EBD), Control de estabilidad (VSC), Asistente de partida en pendiente (HAC), Anclajes ISOFIX, Airbag conductor, Airbag pasajero, Airbags laterales, Airbags de cortina</t>
  </si>
  <si>
    <t>Control crucero adaptativo (DRCC), Alerta cambio de carril (LDA), Sistema pre-colisión (PCS), Luces altas automáticas (AHB)</t>
  </si>
  <si>
    <t>Llave inteligente, Encendido por botón, Climatizador bi-zona, Asiento conductor eléctrico, Sensor de lluvia, Freno estacionamiento eléctrico</t>
  </si>
  <si>
    <t>Pantalla táctil 9", Apple CarPlay inalámbrico, Android Auto inalámbrico, Bluetooth, Cargador inalámbrico</t>
  </si>
  <si>
    <t>Tapiz de cuero</t>
  </si>
  <si>
    <t>Techo corredizo, Faros LED, Neblineros, Encendido automático de luces, Cámara de retroceso, Sensores estacionamiento delanteros, Sensores estacionamiento traseros, Portalón eléctrico, Barras portaequipaje</t>
  </si>
  <si>
    <t>Blanco Perlado, Gris Plata Metalizado, Gris Oscuro Metalizado, Rojo Metalizado, Negro Mica, Azul Oscuro Metalizado</t>
  </si>
  <si>
    <t>Corolla</t>
  </si>
  <si>
    <t>sedan</t>
  </si>
  <si>
    <t>sedán compacto</t>
  </si>
  <si>
    <t>SEG 1.8 CVT HEV</t>
  </si>
  <si>
    <t>Eléctrica asistida</t>
  </si>
  <si>
    <t>Doble Horquilla</t>
  </si>
  <si>
    <t>Frenos ABS, Control de estabilidad (VSC), Asistente de partida en pendiente (HAC), Airbag conductor, Airbag pasajero, Airbags laterales, Airbags de cortina, Airbag de rodilla, Anclajes ISOFIX</t>
  </si>
  <si>
    <t>Apple CarPlay, Android Auto, Bluetooth</t>
  </si>
  <si>
    <t>Fortuner</t>
  </si>
  <si>
    <t>SUV 7 pasajeros</t>
  </si>
  <si>
    <t>SRX 4x4 TDI 2.8L</t>
  </si>
  <si>
    <t>diesel</t>
  </si>
  <si>
    <t>4wd</t>
  </si>
  <si>
    <t>AT</t>
  </si>
  <si>
    <t>1GD-FTV</t>
  </si>
  <si>
    <t>Common-Rail con Turbocompresor e Intercooler</t>
  </si>
  <si>
    <t>Hidráulica de piñón y cremallera con asistencia variable</t>
  </si>
  <si>
    <t>Discos ventilados</t>
  </si>
  <si>
    <t>Discos sólidos</t>
  </si>
  <si>
    <t>265/60R18</t>
  </si>
  <si>
    <t>Frenos ABS, Distribución electrónica de frenado (EBD), Control de estabilidad (VSC), Control de tracción (TRC), Asistente de partida en pendiente (HAC), Asistente de descenso (DAC), Asistente de frenado (BA), Airbag conductor, Airbag pasajero, Airbags laterales, Airbags de cortina, Airbag de rodilla, Anclajes ISOFIX</t>
  </si>
  <si>
    <t>Control crucero adaptativo (DRCC), Alerta cambio de carril (LDA), Sistema pre-colisión (PCS)</t>
  </si>
  <si>
    <t>Llave inteligente, Encendido por botón, Climatizador automático, Asientos calefaccionados, Asiento conductor eléctrico, Asiento pasajero eléctrico, Control crucero</t>
  </si>
  <si>
    <t>Pantalla táctil 9", Apple CarPlay, Android Auto, Bluetooth</t>
  </si>
  <si>
    <t>Faros LED, Neblineros, Encendido automático de luces, Cámara de retroceso, Sensores estacionamiento delanteros, Sensores estacionamiento traseros, Portalón eléctrico, Barras portaequipaje</t>
  </si>
  <si>
    <t>Bloqueo diferencial trasero</t>
  </si>
  <si>
    <t>Hilux</t>
  </si>
  <si>
    <t>pickup</t>
  </si>
  <si>
    <t>pickup mediano</t>
  </si>
  <si>
    <t>SRV 4x4 2.8 AT</t>
  </si>
  <si>
    <t>15.6:1</t>
  </si>
  <si>
    <t>Common-Rail Turbo Intercooler VTG</t>
  </si>
  <si>
    <t>Euro 6b</t>
  </si>
  <si>
    <t>Hidráulica de piñón y cremallera</t>
  </si>
  <si>
    <t>Tambor</t>
  </si>
  <si>
    <t>Frenos ABS, Distribución electrónica de frenado (EBD), Control de estabilidad (VSC), Control de tracción (TRC), Asistente de partida en pendiente (HAC), Asistente de frenado (BA), Airbag conductor, Airbag pasajero, Airbags laterales, Airbags de cortina, Anclajes ISOFIX</t>
  </si>
  <si>
    <t>Llave inteligente, Encendido por botón, Climatizador automático, Control crucero</t>
  </si>
  <si>
    <t>Faros LED, Neblineros, Cámara de retroceso</t>
  </si>
  <si>
    <t>Hilux GR-Sport</t>
  </si>
  <si>
    <t>pickup mediano deportivo</t>
  </si>
  <si>
    <t>GR-Sport 2.8 AT 4x4</t>
  </si>
  <si>
    <t>Common-Rail con Turbocargador e Intercooler</t>
  </si>
  <si>
    <t>Independiente con doble brazo de suspensión, resortes helicoidales, amortiguadores telescópicos monotubo KYB y barra estabilizadora</t>
  </si>
  <si>
    <t>Eje rígido con elásticos longitudinales y amortiguadores telescópicos monotubo KYB</t>
  </si>
  <si>
    <t>Frenos ABS, Distribución electrónica de frenado (EBD), Control de estabilidad (VSC), Control de tracción (TRC), Asistente de partida en pendiente (HAC), Asistente de frenado (BA), Airbag conductor, Airbag pasajero, Airbags laterales, Airbags de cortina, Airbag de rodilla, Anclajes ISOFIX</t>
  </si>
  <si>
    <t>Llave inteligente, Encendido por botón, Climatizador automático, Asiento conductor eléctrico, Control crucero</t>
  </si>
  <si>
    <t>Pantalla táctil 7", Apple CarPlay, Android Auto, Bluetooth</t>
  </si>
  <si>
    <t>Faros LED, Neblineros, Cámara de retroceso, Barras portaequipaje</t>
  </si>
  <si>
    <t>Land Cruiser Prado</t>
  </si>
  <si>
    <t>SUV full size</t>
  </si>
  <si>
    <t>VX-L</t>
  </si>
  <si>
    <t>Turbo Diesel Common-Rail</t>
  </si>
  <si>
    <t>Eléctrica (EPS)</t>
  </si>
  <si>
    <t>Rígida de cuatro brazos con control lateral</t>
  </si>
  <si>
    <t>Disco 18"</t>
  </si>
  <si>
    <t>Disco 17"</t>
  </si>
  <si>
    <t>Frenos ABS, Distribución electrónica de frenado (EBD), Control de estabilidad (VSC), Asistente de partida en pendiente (HAC), Asistente de descenso (DAC), Asistente de frenado (BA), Airbag conductor, Airbag pasajero, Airbags laterales, Airbags de cortina, Airbag de rodilla, Anclajes ISOFIX</t>
  </si>
  <si>
    <t>Control crucero adaptativo (DRCC), Asistente trazado de carril (LTA), Alerta cambio de carril (LDA), Sistema pre-colisión (PCS), Luces altas automáticas (AHB), Monitor punto ciego (BSM), Alerta tráfico cruzado posterior (RCTA)</t>
  </si>
  <si>
    <t>Llave inteligente, Encendido por botón, Climatizador automático, Asientos calefaccionados, Asientos ventilados, Asiento conductor eléctrico, Asiento pasajero eléctrico, Asientos con memoria, Freno estacionamiento eléctrico, Control crucero</t>
  </si>
  <si>
    <t>Pantalla táctil 12.3", Apple CarPlay, Android Auto, Bluetooth</t>
  </si>
  <si>
    <t>Faros LED, Neblineros, Encendido automático de luces, Cámara 360° (PVM), Cámara de retroceso, Sensores estacionamiento delanteros, Sensores estacionamiento traseros, Portalón eléctrico, Barras portaequipaje</t>
  </si>
  <si>
    <t>Control de descenso, Multi-Terrain Select, Crawl Control, Bloqueo diferencial central</t>
  </si>
  <si>
    <t>Raize</t>
  </si>
  <si>
    <t>SUV urbano</t>
  </si>
  <si>
    <t>XS CVT</t>
  </si>
  <si>
    <t>CVT</t>
  </si>
  <si>
    <t>Discos Ventilados</t>
  </si>
  <si>
    <t>Frenos ABS, Distribución electrónica de frenado (EBD), Control de estabilidad (VSC), Asistente de partida en pendiente (HAC), Airbag conductor, Airbag pasajero, Anclajes ISOFIX</t>
  </si>
  <si>
    <t>Control crucero, Aire acondicionado manual</t>
  </si>
  <si>
    <t>Tapiz de tela</t>
  </si>
  <si>
    <t>Faros LED, Cámara de retroceso</t>
  </si>
  <si>
    <t>Yaris Sedan</t>
  </si>
  <si>
    <t>sedán subcompacto</t>
  </si>
  <si>
    <t>1.5 CVT</t>
  </si>
  <si>
    <t>Frenos ABS, Distribución electrónica de frenado (EBD), Control de estabilidad (VSC), Asistente de partida en pendiente (HAC), Airbag conductor, Airbag pasajero, Airbags laterales, Airbags de cortina, Anclajes ISOFIX</t>
  </si>
  <si>
    <t>Control crucero, Climatizador automático, Entrada sin llave, Encendido por botón</t>
  </si>
  <si>
    <t>Cámara de retroceso</t>
  </si>
  <si>
    <t>Yaris Cross</t>
  </si>
  <si>
    <t>SUV subcompacto</t>
  </si>
  <si>
    <t>XI eCVT Híbrido</t>
  </si>
  <si>
    <t>215/60 R17</t>
  </si>
  <si>
    <t>Climatizador automático, Control crucero</t>
  </si>
  <si>
    <t>bZ4X</t>
  </si>
  <si>
    <t>SUV eléctrico</t>
  </si>
  <si>
    <t>Limited AWD 4x4</t>
  </si>
  <si>
    <t>bev</t>
  </si>
  <si>
    <t>Motor Síncrono de Imanes Permanentes</t>
  </si>
  <si>
    <t>Iones de Litio</t>
  </si>
  <si>
    <t>Tipo 2 (CCS2)</t>
  </si>
  <si>
    <t>Macpherson Strut</t>
  </si>
  <si>
    <t>Double Wishbone</t>
  </si>
  <si>
    <t>Discos ventilados 17", 34V High Friction</t>
  </si>
  <si>
    <t>Discos ventilados 17", 18V Mid Friction</t>
  </si>
  <si>
    <t>Llave inteligente, Encendido por botón, Climatizador automático, Asientos calefaccionados, Asientos ventilados, Asiento conductor eléctrico, Asiento pasajero eléctrico, Asientos con memoria, Sensor de lluvia, Freno estacionamiento eléctrico</t>
  </si>
  <si>
    <t>Pantalla táctil 12.3", Apple CarPlay inalámbrico, Android Auto, Bluetooth, Cargador inalámbrico</t>
  </si>
  <si>
    <t>Faros LED, Encendido automático de luces, Cámara 360° (PVM), Cámara de retroceso, Sensores estacionamiento delanteros, Sensores estacionamiento traseros, Portalón eléctrico</t>
  </si>
  <si>
    <t>Fortuner GR-Sport</t>
  </si>
  <si>
    <t>SUV deportivo 7 pasajeros</t>
  </si>
  <si>
    <t>Control crucero adaptativo (DRCC), Alerta cambio de carril (LDA), Sistema pre-colisión (PCS), Luces altas automáticas (AHB), Monitor punto ciego (BSM)</t>
  </si>
  <si>
    <t>Llave inteligente, Encendido por botón, Climatizador automático, Asientos calefaccionados, Asientos ventilados, Asiento conductor eléctrico, Control crucero</t>
  </si>
  <si>
    <t>Faros LED, Neblineros, Encendido automático de luces, Cámara de retroceso, Sensores estacionamiento delanteros, Sensores estacionamiento traseros, Barras portaequipaje</t>
  </si>
  <si>
    <t>GR Yaris</t>
  </si>
  <si>
    <t>hatchback</t>
  </si>
  <si>
    <t>hot hatch deportivo</t>
  </si>
  <si>
    <t>Circuit Pack 1.6 Turbo 6MT</t>
  </si>
  <si>
    <t>MT</t>
  </si>
  <si>
    <t>G16E-GTS</t>
  </si>
  <si>
    <t>Turbo</t>
  </si>
  <si>
    <t>MacPherson GR</t>
  </si>
  <si>
    <t>Doble Horquilla GR</t>
  </si>
  <si>
    <t>Discos ventilados de 4 pistones con cálipers GR rojos</t>
  </si>
  <si>
    <t>Discos ventilados de 2 pistones con cálipers GR rojos</t>
  </si>
  <si>
    <t>225/40R18</t>
  </si>
  <si>
    <t>aluminio forjado</t>
  </si>
  <si>
    <t>Frenos ABS, Distribución electrónica de frenado (EBD), Control de estabilidad (VSC), Asistente de partida en pendiente (HAC), Airbag conductor, Airbag pasajero, Airbags laterales, Airbags de cortina</t>
  </si>
  <si>
    <t>Llave inteligente, Encendido por botón, Climatizador bi-zona, Asientos calefaccionados, Sensor de lluvia, Control crucero, Freno estacionamiento mecánico</t>
  </si>
  <si>
    <t>Bloqueo diferencial central</t>
  </si>
  <si>
    <t>Blanco Perlado, Rojo Emoción, Negro Montecarlo</t>
  </si>
  <si>
    <t>VU</t>
  </si>
  <si>
    <t>BMW</t>
  </si>
  <si>
    <t>Codigo Interno</t>
  </si>
  <si>
    <t>Nombre Repuesto</t>
  </si>
  <si>
    <t>Precio</t>
  </si>
  <si>
    <t xml:space="preserve">Compatible con </t>
  </si>
  <si>
    <t xml:space="preserve">Disponible  en </t>
  </si>
  <si>
    <t>ACEITE SN C2 5W - 30 BIDON 4L</t>
  </si>
  <si>
    <t>Sucursal La Serena / Sucursal Ovalle</t>
  </si>
  <si>
    <t>BATERIA YUASA  40B19L  (35 AMP)</t>
  </si>
  <si>
    <t xml:space="preserve">Sucursal La Serena </t>
  </si>
  <si>
    <t>Fotografia</t>
  </si>
  <si>
    <t>Precio Oferta</t>
  </si>
  <si>
    <t>-</t>
  </si>
  <si>
    <t>Sucursal Ovalle</t>
  </si>
  <si>
    <t xml:space="preserve">Corolla Cross- Corolla Sedan - Yaris Sedan </t>
  </si>
  <si>
    <t>Nombre Merch</t>
  </si>
  <si>
    <t>BILLETERA  GR X</t>
  </si>
  <si>
    <t>Talla</t>
  </si>
  <si>
    <t>POLERA GR POLO BLANCA</t>
  </si>
  <si>
    <t>S - XL</t>
  </si>
  <si>
    <t>X1 SDRIVE18D 2.0 AT</t>
  </si>
  <si>
    <t>Bono Financiaminto</t>
  </si>
  <si>
    <t>Precio Lista + Bono Financiaminto</t>
  </si>
  <si>
    <t>2  WD</t>
  </si>
  <si>
    <t>Tipo Combustible</t>
  </si>
  <si>
    <t>Diesel</t>
  </si>
  <si>
    <t>KM</t>
  </si>
  <si>
    <t>SEGURIDAD</t>
  </si>
  <si>
    <t>Sistema de frenos ABS</t>
  </si>
  <si>
    <t>Distribución electrónica de frenado (EBD)</t>
  </si>
  <si>
    <t>Asistencia de frenado de emergencia (BA)</t>
  </si>
  <si>
    <t>Control de estabilidad ESP / VSC</t>
  </si>
  <si>
    <t>Control de tracción (TCS / TRC)</t>
  </si>
  <si>
    <t>Control de estabilidad del remolque (TSC)</t>
  </si>
  <si>
    <t>Asistente de arranque en pendiente (HAC)</t>
  </si>
  <si>
    <t>Asistente de descenso (DAC)</t>
  </si>
  <si>
    <t>Diferencial electrónico (e-LSD)</t>
  </si>
  <si>
    <t>Dirección asistida eléctrica con control de estabilidad</t>
  </si>
  <si>
    <t>Frenos de disco ventilados (delanteros/traseros)</t>
  </si>
  <si>
    <t>Color</t>
  </si>
  <si>
    <t>Mantenciones</t>
  </si>
  <si>
    <t>Potencia</t>
  </si>
  <si>
    <t>Torque</t>
  </si>
  <si>
    <t>no</t>
  </si>
  <si>
    <t>si</t>
  </si>
  <si>
    <t>mandos al volante</t>
  </si>
  <si>
    <t>camara de retroceso</t>
  </si>
  <si>
    <t>bluetooth</t>
  </si>
  <si>
    <t>android auto</t>
  </si>
  <si>
    <t>apple car play</t>
  </si>
  <si>
    <t>sensores de retroceso</t>
  </si>
  <si>
    <t>neblineros</t>
  </si>
  <si>
    <t>llantas de aleación</t>
  </si>
  <si>
    <t>espejos electricos</t>
  </si>
  <si>
    <t>techo panoramico</t>
  </si>
  <si>
    <t>aire acondicionado</t>
  </si>
  <si>
    <t>dos copias de llave</t>
  </si>
  <si>
    <t>numero de puertas</t>
  </si>
  <si>
    <t>numero de propietarios</t>
  </si>
  <si>
    <t>Certificación  Toyota Usados</t>
  </si>
  <si>
    <t>climatizador / bi-zona</t>
  </si>
  <si>
    <t>Descripcion corta</t>
  </si>
  <si>
    <t>Descripcion tecnica</t>
  </si>
  <si>
    <t>Categoria principal</t>
  </si>
  <si>
    <t>Subcategoria</t>
  </si>
  <si>
    <t>GR</t>
  </si>
  <si>
    <t>Descripción tecnica</t>
  </si>
  <si>
    <t>Categoria</t>
  </si>
  <si>
    <t>Mantenimiento</t>
  </si>
  <si>
    <t>Tiempo estimado de entrega</t>
  </si>
  <si>
    <t>TOYOTA</t>
  </si>
  <si>
    <t>COROLLA SEDAN 1.8 HIBRIDO</t>
  </si>
  <si>
    <t>Año vehiculo compatible</t>
  </si>
  <si>
    <t>2020 al 2026</t>
  </si>
  <si>
    <t>Inventario / stok</t>
  </si>
  <si>
    <t>a pedido</t>
  </si>
  <si>
    <t>disponible</t>
  </si>
  <si>
    <t>5 dias</t>
  </si>
  <si>
    <t>inmediata</t>
  </si>
  <si>
    <t>Precio instalado</t>
  </si>
  <si>
    <t>merch</t>
  </si>
  <si>
    <t>accesorio</t>
  </si>
  <si>
    <t>Blanco Perlado Platinum</t>
  </si>
  <si>
    <t>Automovil</t>
  </si>
  <si>
    <t>2 WD</t>
  </si>
  <si>
    <t>Hibrido</t>
  </si>
  <si>
    <t>LLANTA ALEACION 18´ GR HILUX</t>
  </si>
  <si>
    <t>Estado</t>
  </si>
  <si>
    <t>Compatibilidad</t>
  </si>
  <si>
    <t>CUBRE CARTER RAIZE</t>
  </si>
  <si>
    <t>2021-2026</t>
  </si>
  <si>
    <t>La Serena</t>
  </si>
  <si>
    <t>Carroceria</t>
  </si>
  <si>
    <t>Blanco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</si>
</sst>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340A]#,##0"/>
  </numFmts>
  <fonts count="4" x14ac:knownFonts="1">
    <font>
      <sz val="11"/>
      <color rgb="FF000000"/>
      <name val="Calibri"/>
    </font>
    <font>
      <b/>
      <sz val="11"/>
      <color rgb="FFFFFFFF"/>
      <name val="Calibri"/>
    </font>
    <font>
      <sz val="11"/>
      <color rgb="FF000000"/>
      <name val="Calibri"/>
      <family val="2"/>
    </font>
    <font>
      <b/>
      <sz val="11"/>
      <color rgb="FFFFFFFF"/>
      <name val="Calibri"/>
      <family val="2"/>
    </font>
  </fonts>
  <fills count="3">
    <fill>
      <patternFill patternType="none"/>
    </fill>
    <fill>
      <patternFill patternType="gray125"/>
    </fill>
    <fill>
      <patternFill patternType="solid">
        <fgColor rgb="FF1F4E78"/>
        <bgColor rgb="FF000000"/>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s>
  <cellStyleXfs count="1">
    <xf numFmtId="0" fontId="0" fillId="0" borderId="0"/>
  </cellStyleXfs>
  <cellXfs count="14">
    <xf numFmtId="0" fontId="0" fillId="0" borderId="0" xfId="0"/>
    <xf numFmtId="0" fontId="1" fillId="2" borderId="1" xfId="0" applyFont="1" applyFill="1" applyBorder="1" applyAlignment="1">
      <alignment horizontal="center"/>
    </xf>
    <xf numFmtId="0" fontId="1" fillId="2" borderId="1" xfId="0" applyFont="1" applyFill="1" applyBorder="1" applyAlignment="1">
      <alignment horizontal="center" vertical="center"/>
    </xf>
    <xf numFmtId="0" fontId="0" fillId="0" borderId="0" xfId="0" applyAlignment="1">
      <alignment horizontal="center" vertical="center"/>
    </xf>
    <xf numFmtId="0" fontId="2" fillId="0" borderId="0" xfId="0" applyFont="1" applyAlignment="1">
      <alignment horizontal="center" vertical="center"/>
    </xf>
    <xf numFmtId="164" fontId="0" fillId="0" borderId="0" xfId="0" applyNumberFormat="1" applyAlignment="1">
      <alignment horizontal="center" vertical="center"/>
    </xf>
    <xf numFmtId="0" fontId="3" fillId="2" borderId="1" xfId="0" applyFont="1" applyFill="1" applyBorder="1" applyAlignment="1">
      <alignment horizontal="center" vertical="center"/>
    </xf>
    <xf numFmtId="164" fontId="2" fillId="0" borderId="0" xfId="0" applyNumberFormat="1" applyFont="1" applyAlignment="1">
      <alignment horizontal="center" vertical="center"/>
    </xf>
    <xf numFmtId="0" fontId="3" fillId="2" borderId="1" xfId="0" applyFont="1" applyFill="1" applyBorder="1" applyAlignment="1">
      <alignment horizontal="center"/>
    </xf>
    <xf numFmtId="3" fontId="0" fillId="0" borderId="0" xfId="0" applyNumberFormat="1" applyAlignment="1">
      <alignment horizontal="center" vertical="center"/>
    </xf>
    <xf numFmtId="0" fontId="3" fillId="2" borderId="5" xfId="0" applyFont="1" applyFill="1" applyBorder="1" applyAlignment="1">
      <alignment horizont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A14"/>
  <sheetViews>
    <sheetView workbookViewId="0">
      <pane xSplit="3" ySplit="1" topLeftCell="D2" activePane="bottomRight" state="frozen"/>
      <selection pane="topRight"/>
      <selection pane="bottomLeft"/>
      <selection pane="bottomRight" activeCell="K13" sqref="K13"/>
    </sheetView>
  </sheetViews>
  <sheetFormatPr baseColWidth="10" defaultColWidth="8.88671875" defaultRowHeight="14.4" x14ac:dyDescent="0.3"/>
  <cols>
    <col min="1" max="1" width="8.109375" bestFit="1" customWidth="1"/>
    <col min="2" max="2" width="11.6640625" bestFit="1" customWidth="1"/>
    <col min="3" max="3" width="22.33203125" bestFit="1" customWidth="1"/>
    <col min="4" max="4" width="23.44140625" bestFit="1" customWidth="1"/>
    <col min="5" max="5" width="30.5546875" bestFit="1" customWidth="1"/>
    <col min="6" max="6" width="17.5546875" bestFit="1" customWidth="1"/>
    <col min="7" max="7" width="31.6640625" bestFit="1" customWidth="1"/>
    <col min="8" max="8" width="9.33203125" bestFit="1" customWidth="1"/>
    <col min="9" max="9" width="21.109375" bestFit="1" customWidth="1"/>
    <col min="10" max="10" width="12.88671875" bestFit="1" customWidth="1"/>
    <col min="11" max="11" width="27" bestFit="1" customWidth="1"/>
    <col min="12" max="12" width="18.6640625" bestFit="1" customWidth="1"/>
    <col min="13" max="13" width="17.5546875" bestFit="1" customWidth="1"/>
    <col min="14" max="14" width="15.33203125" bestFit="1" customWidth="1"/>
    <col min="15" max="15" width="18.6640625" bestFit="1" customWidth="1"/>
    <col min="16" max="16" width="22.33203125" bestFit="1" customWidth="1"/>
    <col min="17" max="17" width="20" bestFit="1" customWidth="1"/>
    <col min="18" max="18" width="16.44140625" bestFit="1" customWidth="1"/>
    <col min="19" max="19" width="21.109375" bestFit="1" customWidth="1"/>
    <col min="20" max="20" width="23.44140625" bestFit="1" customWidth="1"/>
    <col min="21" max="21" width="28.109375" bestFit="1" customWidth="1"/>
    <col min="22" max="22" width="53" bestFit="1" customWidth="1"/>
    <col min="23" max="23" width="21.109375" bestFit="1" customWidth="1"/>
    <col min="24" max="24" width="20" bestFit="1" customWidth="1"/>
    <col min="25" max="25" width="18.6640625" bestFit="1" customWidth="1"/>
    <col min="26" max="27" width="22.33203125" bestFit="1" customWidth="1"/>
    <col min="28" max="28" width="25.88671875" bestFit="1" customWidth="1"/>
    <col min="29" max="29" width="23.44140625" bestFit="1" customWidth="1"/>
    <col min="30" max="30" width="43.5546875" bestFit="1" customWidth="1"/>
    <col min="31" max="31" width="29.44140625" bestFit="1" customWidth="1"/>
    <col min="32" max="32" width="27" bestFit="1" customWidth="1"/>
    <col min="33" max="34" width="32.88671875" bestFit="1" customWidth="1"/>
    <col min="35" max="35" width="20" bestFit="1" customWidth="1"/>
    <col min="36" max="36" width="32.88671875" bestFit="1" customWidth="1"/>
    <col min="37" max="37" width="28.109375" bestFit="1" customWidth="1"/>
    <col min="38" max="39" width="21.109375" bestFit="1" customWidth="1"/>
    <col min="40" max="40" width="25.88671875" bestFit="1" customWidth="1"/>
    <col min="41" max="42" width="17.5546875" bestFit="1" customWidth="1"/>
    <col min="43" max="43" width="16.44140625" bestFit="1" customWidth="1"/>
    <col min="44" max="44" width="28.109375" bestFit="1" customWidth="1"/>
    <col min="45" max="45" width="20" bestFit="1" customWidth="1"/>
    <col min="46" max="47" width="21.109375" bestFit="1" customWidth="1"/>
    <col min="48" max="48" width="17.5546875" bestFit="1" customWidth="1"/>
    <col min="49" max="51" width="23.44140625" bestFit="1" customWidth="1"/>
    <col min="52" max="52" width="15.33203125" bestFit="1" customWidth="1"/>
    <col min="53" max="53" width="20" bestFit="1" customWidth="1"/>
    <col min="54" max="54" width="34.109375" bestFit="1" customWidth="1"/>
    <col min="55" max="55" width="32.88671875" bestFit="1" customWidth="1"/>
    <col min="56" max="56" width="23.44140625" bestFit="1" customWidth="1"/>
    <col min="57" max="57" width="30.5546875" bestFit="1" customWidth="1"/>
    <col min="58" max="58" width="34.109375" bestFit="1" customWidth="1"/>
    <col min="59" max="60" width="29.44140625" bestFit="1" customWidth="1"/>
    <col min="61" max="61" width="22.33203125" bestFit="1" customWidth="1"/>
    <col min="62" max="62" width="32.88671875" bestFit="1" customWidth="1"/>
    <col min="63" max="63" width="28.109375" bestFit="1" customWidth="1"/>
    <col min="64" max="64" width="67.109375" bestFit="1" customWidth="1"/>
    <col min="65" max="65" width="155.6640625" bestFit="1" customWidth="1"/>
    <col min="66" max="66" width="97.6640625" bestFit="1" customWidth="1"/>
    <col min="67" max="68" width="63.5546875" bestFit="1" customWidth="1"/>
    <col min="69" max="69" width="16.44140625" bestFit="1" customWidth="1"/>
    <col min="70" max="71" width="23.44140625" bestFit="1" customWidth="1"/>
    <col min="72" max="72" width="375" bestFit="1" customWidth="1"/>
    <col min="73" max="73" width="267.6640625" bestFit="1" customWidth="1"/>
    <col min="74" max="74" width="284.33203125" bestFit="1" customWidth="1"/>
    <col min="75" max="75" width="123.6640625" bestFit="1" customWidth="1"/>
    <col min="76" max="76" width="18.6640625" bestFit="1" customWidth="1"/>
    <col min="77" max="77" width="244.109375" bestFit="1" customWidth="1"/>
    <col min="78" max="78" width="101.44140625" bestFit="1" customWidth="1"/>
    <col min="79" max="79" width="135.5546875" bestFit="1" customWidth="1"/>
  </cols>
  <sheetData>
    <row r="1" spans="1:7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row>
    <row r="2" spans="1:79" x14ac:dyDescent="0.3">
      <c r="A2">
        <v>1</v>
      </c>
      <c r="B2" t="s">
        <v>79</v>
      </c>
      <c r="C2" t="s">
        <v>80</v>
      </c>
      <c r="D2" t="s">
        <v>81</v>
      </c>
      <c r="E2" t="s">
        <v>82</v>
      </c>
      <c r="G2" t="s">
        <v>83</v>
      </c>
      <c r="H2">
        <v>2025</v>
      </c>
      <c r="J2" t="s">
        <v>84</v>
      </c>
      <c r="M2" t="s">
        <v>85</v>
      </c>
      <c r="N2" t="s">
        <v>86</v>
      </c>
      <c r="O2" t="s">
        <v>87</v>
      </c>
      <c r="R2">
        <v>4</v>
      </c>
      <c r="S2" t="s">
        <v>88</v>
      </c>
      <c r="T2">
        <v>2487</v>
      </c>
      <c r="W2">
        <v>236</v>
      </c>
      <c r="X2">
        <v>6000</v>
      </c>
      <c r="Y2">
        <v>221</v>
      </c>
      <c r="Z2">
        <v>3600</v>
      </c>
      <c r="AA2">
        <v>5200</v>
      </c>
      <c r="AB2" t="s">
        <v>89</v>
      </c>
      <c r="AD2" t="s">
        <v>90</v>
      </c>
      <c r="AO2">
        <v>4600</v>
      </c>
      <c r="AP2">
        <v>1855</v>
      </c>
      <c r="AQ2">
        <v>1695</v>
      </c>
      <c r="AR2">
        <v>2690</v>
      </c>
      <c r="AY2">
        <v>2230</v>
      </c>
      <c r="AZ2">
        <v>5</v>
      </c>
      <c r="BA2">
        <v>514</v>
      </c>
      <c r="BB2">
        <v>55</v>
      </c>
      <c r="BL2" t="s">
        <v>91</v>
      </c>
      <c r="BM2" t="s">
        <v>92</v>
      </c>
      <c r="BN2" t="s">
        <v>93</v>
      </c>
      <c r="BO2" t="s">
        <v>94</v>
      </c>
      <c r="BP2" t="s">
        <v>94</v>
      </c>
      <c r="BQ2" t="s">
        <v>95</v>
      </c>
      <c r="BR2">
        <v>20</v>
      </c>
      <c r="BS2" t="s">
        <v>96</v>
      </c>
      <c r="BT2" t="s">
        <v>97</v>
      </c>
      <c r="BU2" t="s">
        <v>98</v>
      </c>
      <c r="BV2" t="s">
        <v>99</v>
      </c>
      <c r="BW2" t="s">
        <v>100</v>
      </c>
      <c r="BX2" t="s">
        <v>101</v>
      </c>
      <c r="BY2" t="s">
        <v>102</v>
      </c>
    </row>
    <row r="3" spans="1:79" x14ac:dyDescent="0.3">
      <c r="A3">
        <v>2</v>
      </c>
      <c r="B3" t="s">
        <v>79</v>
      </c>
      <c r="C3" t="s">
        <v>103</v>
      </c>
      <c r="D3" t="s">
        <v>81</v>
      </c>
      <c r="E3" t="s">
        <v>104</v>
      </c>
      <c r="G3" t="s">
        <v>105</v>
      </c>
      <c r="H3">
        <v>2025</v>
      </c>
      <c r="J3" t="s">
        <v>84</v>
      </c>
      <c r="M3" t="s">
        <v>85</v>
      </c>
      <c r="N3" t="s">
        <v>106</v>
      </c>
      <c r="O3" t="s">
        <v>87</v>
      </c>
      <c r="R3">
        <v>4</v>
      </c>
      <c r="S3" t="s">
        <v>88</v>
      </c>
      <c r="T3">
        <v>1798</v>
      </c>
      <c r="W3">
        <v>122</v>
      </c>
      <c r="X3">
        <v>5200</v>
      </c>
      <c r="Y3">
        <v>142</v>
      </c>
      <c r="Z3">
        <v>3600</v>
      </c>
      <c r="AA3">
        <v>3600</v>
      </c>
      <c r="AB3" t="s">
        <v>89</v>
      </c>
      <c r="AD3" t="s">
        <v>90</v>
      </c>
      <c r="AE3">
        <v>53</v>
      </c>
      <c r="AO3">
        <v>4460</v>
      </c>
      <c r="AP3">
        <v>1825</v>
      </c>
      <c r="AQ3">
        <v>1620</v>
      </c>
      <c r="AZ3">
        <v>5</v>
      </c>
      <c r="BA3">
        <v>440</v>
      </c>
      <c r="BE3">
        <v>25.6</v>
      </c>
      <c r="BF3">
        <v>21.7</v>
      </c>
      <c r="BG3">
        <v>23.3</v>
      </c>
      <c r="BH3">
        <v>98</v>
      </c>
      <c r="BL3" t="s">
        <v>91</v>
      </c>
      <c r="BM3" t="s">
        <v>107</v>
      </c>
      <c r="BN3" t="s">
        <v>108</v>
      </c>
      <c r="BO3" t="s">
        <v>109</v>
      </c>
      <c r="BP3" t="s">
        <v>110</v>
      </c>
      <c r="BQ3" t="s">
        <v>111</v>
      </c>
      <c r="BR3">
        <v>18</v>
      </c>
      <c r="BS3" t="s">
        <v>96</v>
      </c>
      <c r="BT3" t="s">
        <v>112</v>
      </c>
      <c r="BU3" t="s">
        <v>113</v>
      </c>
      <c r="BV3" t="s">
        <v>114</v>
      </c>
      <c r="BW3" t="s">
        <v>115</v>
      </c>
      <c r="BX3" t="s">
        <v>116</v>
      </c>
      <c r="BY3" t="s">
        <v>117</v>
      </c>
      <c r="CA3" t="s">
        <v>118</v>
      </c>
    </row>
    <row r="4" spans="1:79" x14ac:dyDescent="0.3">
      <c r="A4">
        <v>3</v>
      </c>
      <c r="B4" t="s">
        <v>79</v>
      </c>
      <c r="C4" t="s">
        <v>119</v>
      </c>
      <c r="D4" t="s">
        <v>120</v>
      </c>
      <c r="E4" t="s">
        <v>121</v>
      </c>
      <c r="G4" t="s">
        <v>122</v>
      </c>
      <c r="H4">
        <v>2025</v>
      </c>
      <c r="J4" t="s">
        <v>84</v>
      </c>
      <c r="M4" t="s">
        <v>85</v>
      </c>
      <c r="N4" t="s">
        <v>106</v>
      </c>
      <c r="O4" t="s">
        <v>87</v>
      </c>
      <c r="R4">
        <v>4</v>
      </c>
      <c r="S4" t="s">
        <v>88</v>
      </c>
      <c r="T4">
        <v>1798</v>
      </c>
      <c r="AB4" t="s">
        <v>89</v>
      </c>
      <c r="AD4" t="s">
        <v>90</v>
      </c>
      <c r="AP4">
        <v>1780</v>
      </c>
      <c r="AZ4">
        <v>5</v>
      </c>
      <c r="BE4">
        <v>25</v>
      </c>
      <c r="BF4">
        <v>21.3</v>
      </c>
      <c r="BG4">
        <v>22.6</v>
      </c>
      <c r="BL4" t="s">
        <v>123</v>
      </c>
      <c r="BM4" t="s">
        <v>107</v>
      </c>
      <c r="BN4" t="s">
        <v>124</v>
      </c>
      <c r="BT4" t="s">
        <v>125</v>
      </c>
      <c r="BU4" t="s">
        <v>113</v>
      </c>
      <c r="BW4" t="s">
        <v>126</v>
      </c>
      <c r="BX4" t="s">
        <v>116</v>
      </c>
    </row>
    <row r="5" spans="1:79" x14ac:dyDescent="0.3">
      <c r="A5">
        <v>4</v>
      </c>
      <c r="B5" t="s">
        <v>79</v>
      </c>
      <c r="C5" t="s">
        <v>127</v>
      </c>
      <c r="D5" t="s">
        <v>81</v>
      </c>
      <c r="E5" t="s">
        <v>128</v>
      </c>
      <c r="G5" t="s">
        <v>129</v>
      </c>
      <c r="H5">
        <v>2024</v>
      </c>
      <c r="J5" t="s">
        <v>84</v>
      </c>
      <c r="M5" t="s">
        <v>130</v>
      </c>
      <c r="N5" t="s">
        <v>131</v>
      </c>
      <c r="O5" t="s">
        <v>132</v>
      </c>
      <c r="P5">
        <v>6</v>
      </c>
      <c r="Q5" t="s">
        <v>133</v>
      </c>
      <c r="R5">
        <v>4</v>
      </c>
      <c r="S5" t="s">
        <v>88</v>
      </c>
      <c r="T5">
        <v>2755</v>
      </c>
      <c r="V5" t="s">
        <v>134</v>
      </c>
      <c r="W5">
        <v>201</v>
      </c>
      <c r="Y5">
        <v>500</v>
      </c>
      <c r="AB5" t="s">
        <v>130</v>
      </c>
      <c r="AO5">
        <v>4795</v>
      </c>
      <c r="AP5">
        <v>1855</v>
      </c>
      <c r="AQ5">
        <v>1835</v>
      </c>
      <c r="AR5">
        <v>2745</v>
      </c>
      <c r="AS5">
        <v>227</v>
      </c>
      <c r="AT5">
        <v>29</v>
      </c>
      <c r="AU5">
        <v>25</v>
      </c>
      <c r="AY5">
        <v>2750</v>
      </c>
      <c r="AZ5">
        <v>7</v>
      </c>
      <c r="BB5">
        <v>80</v>
      </c>
      <c r="BC5">
        <v>2000</v>
      </c>
      <c r="BL5" t="s">
        <v>135</v>
      </c>
      <c r="BO5" t="s">
        <v>136</v>
      </c>
      <c r="BP5" t="s">
        <v>137</v>
      </c>
      <c r="BQ5" t="s">
        <v>138</v>
      </c>
      <c r="BR5">
        <v>18</v>
      </c>
      <c r="BS5" t="s">
        <v>96</v>
      </c>
      <c r="BT5" t="s">
        <v>139</v>
      </c>
      <c r="BU5" t="s">
        <v>140</v>
      </c>
      <c r="BV5" t="s">
        <v>141</v>
      </c>
      <c r="BW5" t="s">
        <v>142</v>
      </c>
      <c r="BX5" t="s">
        <v>116</v>
      </c>
      <c r="BY5" t="s">
        <v>143</v>
      </c>
      <c r="BZ5" t="s">
        <v>144</v>
      </c>
    </row>
    <row r="6" spans="1:79" x14ac:dyDescent="0.3">
      <c r="A6">
        <v>5</v>
      </c>
      <c r="B6" t="s">
        <v>79</v>
      </c>
      <c r="C6" t="s">
        <v>145</v>
      </c>
      <c r="D6" t="s">
        <v>146</v>
      </c>
      <c r="E6" t="s">
        <v>147</v>
      </c>
      <c r="G6" t="s">
        <v>148</v>
      </c>
      <c r="H6">
        <v>2025</v>
      </c>
      <c r="J6" t="s">
        <v>84</v>
      </c>
      <c r="M6" t="s">
        <v>130</v>
      </c>
      <c r="N6" t="s">
        <v>131</v>
      </c>
      <c r="O6" t="s">
        <v>132</v>
      </c>
      <c r="P6">
        <v>6</v>
      </c>
      <c r="Q6" t="s">
        <v>133</v>
      </c>
      <c r="R6">
        <v>4</v>
      </c>
      <c r="S6" t="s">
        <v>88</v>
      </c>
      <c r="T6">
        <v>2755</v>
      </c>
      <c r="U6" t="s">
        <v>149</v>
      </c>
      <c r="V6" t="s">
        <v>150</v>
      </c>
      <c r="W6">
        <v>201</v>
      </c>
      <c r="X6">
        <v>3400</v>
      </c>
      <c r="Y6">
        <v>500</v>
      </c>
      <c r="Z6">
        <v>1600</v>
      </c>
      <c r="AA6">
        <v>2800</v>
      </c>
      <c r="AB6" t="s">
        <v>130</v>
      </c>
      <c r="AC6" t="s">
        <v>151</v>
      </c>
      <c r="AO6">
        <v>5335</v>
      </c>
      <c r="AP6">
        <v>1855</v>
      </c>
      <c r="AQ6">
        <v>1815</v>
      </c>
      <c r="AS6">
        <v>227</v>
      </c>
      <c r="AZ6">
        <v>5</v>
      </c>
      <c r="BB6">
        <v>80</v>
      </c>
      <c r="BE6">
        <v>10.5</v>
      </c>
      <c r="BF6">
        <v>14.1</v>
      </c>
      <c r="BG6">
        <v>12.5</v>
      </c>
      <c r="BL6" t="s">
        <v>152</v>
      </c>
      <c r="BO6" t="s">
        <v>136</v>
      </c>
      <c r="BP6" t="s">
        <v>153</v>
      </c>
      <c r="BQ6" t="s">
        <v>138</v>
      </c>
      <c r="BR6">
        <v>18</v>
      </c>
      <c r="BS6" t="s">
        <v>96</v>
      </c>
      <c r="BT6" t="s">
        <v>154</v>
      </c>
      <c r="BU6" t="s">
        <v>140</v>
      </c>
      <c r="BV6" t="s">
        <v>155</v>
      </c>
      <c r="BW6" t="s">
        <v>142</v>
      </c>
      <c r="BY6" t="s">
        <v>156</v>
      </c>
      <c r="BZ6" t="s">
        <v>144</v>
      </c>
    </row>
    <row r="7" spans="1:79" x14ac:dyDescent="0.3">
      <c r="A7">
        <v>6</v>
      </c>
      <c r="B7" t="s">
        <v>79</v>
      </c>
      <c r="C7" t="s">
        <v>157</v>
      </c>
      <c r="D7" t="s">
        <v>146</v>
      </c>
      <c r="E7" t="s">
        <v>158</v>
      </c>
      <c r="G7" t="s">
        <v>159</v>
      </c>
      <c r="H7">
        <v>2025</v>
      </c>
      <c r="J7" t="s">
        <v>84</v>
      </c>
      <c r="M7" t="s">
        <v>130</v>
      </c>
      <c r="N7" t="s">
        <v>131</v>
      </c>
      <c r="O7" t="s">
        <v>132</v>
      </c>
      <c r="P7">
        <v>6</v>
      </c>
      <c r="Q7" t="s">
        <v>133</v>
      </c>
      <c r="R7">
        <v>4</v>
      </c>
      <c r="S7" t="s">
        <v>88</v>
      </c>
      <c r="T7">
        <v>2755</v>
      </c>
      <c r="V7" t="s">
        <v>160</v>
      </c>
      <c r="W7">
        <v>221</v>
      </c>
      <c r="Y7">
        <v>550</v>
      </c>
      <c r="Z7">
        <v>1600</v>
      </c>
      <c r="AA7">
        <v>2800</v>
      </c>
      <c r="AB7" t="s">
        <v>130</v>
      </c>
      <c r="AO7">
        <v>5335</v>
      </c>
      <c r="AP7">
        <v>1900</v>
      </c>
      <c r="AQ7">
        <v>1840</v>
      </c>
      <c r="AR7">
        <v>3090</v>
      </c>
      <c r="AX7">
        <v>2070</v>
      </c>
      <c r="AZ7">
        <v>5</v>
      </c>
      <c r="BB7">
        <v>80</v>
      </c>
      <c r="BM7" t="s">
        <v>161</v>
      </c>
      <c r="BN7" t="s">
        <v>162</v>
      </c>
      <c r="BO7" t="s">
        <v>136</v>
      </c>
      <c r="BP7" t="s">
        <v>153</v>
      </c>
      <c r="BS7" t="s">
        <v>96</v>
      </c>
      <c r="BT7" t="s">
        <v>163</v>
      </c>
      <c r="BU7" t="s">
        <v>113</v>
      </c>
      <c r="BV7" t="s">
        <v>164</v>
      </c>
      <c r="BW7" t="s">
        <v>165</v>
      </c>
      <c r="BX7" t="s">
        <v>116</v>
      </c>
      <c r="BY7" t="s">
        <v>166</v>
      </c>
      <c r="BZ7" t="s">
        <v>144</v>
      </c>
    </row>
    <row r="8" spans="1:79" x14ac:dyDescent="0.3">
      <c r="A8">
        <v>7</v>
      </c>
      <c r="B8" t="s">
        <v>79</v>
      </c>
      <c r="C8" t="s">
        <v>167</v>
      </c>
      <c r="D8" t="s">
        <v>81</v>
      </c>
      <c r="E8" t="s">
        <v>168</v>
      </c>
      <c r="G8" t="s">
        <v>169</v>
      </c>
      <c r="H8">
        <v>2025</v>
      </c>
      <c r="J8" t="s">
        <v>84</v>
      </c>
      <c r="M8" t="s">
        <v>130</v>
      </c>
      <c r="N8" t="s">
        <v>131</v>
      </c>
      <c r="O8" t="s">
        <v>132</v>
      </c>
      <c r="P8">
        <v>8</v>
      </c>
      <c r="Q8" t="s">
        <v>133</v>
      </c>
      <c r="R8">
        <v>4</v>
      </c>
      <c r="S8" t="s">
        <v>88</v>
      </c>
      <c r="T8">
        <v>2755</v>
      </c>
      <c r="V8" t="s">
        <v>170</v>
      </c>
      <c r="W8">
        <v>201</v>
      </c>
      <c r="X8">
        <v>3400</v>
      </c>
      <c r="Y8">
        <v>500</v>
      </c>
      <c r="Z8">
        <v>1600</v>
      </c>
      <c r="AA8">
        <v>2800</v>
      </c>
      <c r="AB8" t="s">
        <v>130</v>
      </c>
      <c r="AO8">
        <v>4925</v>
      </c>
      <c r="AP8">
        <v>1980</v>
      </c>
      <c r="AT8">
        <v>32</v>
      </c>
      <c r="AY8">
        <v>3100</v>
      </c>
      <c r="AZ8">
        <v>7</v>
      </c>
      <c r="BB8">
        <v>80</v>
      </c>
      <c r="BL8" t="s">
        <v>171</v>
      </c>
      <c r="BM8" t="s">
        <v>124</v>
      </c>
      <c r="BN8" t="s">
        <v>172</v>
      </c>
      <c r="BO8" t="s">
        <v>173</v>
      </c>
      <c r="BP8" t="s">
        <v>174</v>
      </c>
      <c r="BR8">
        <v>20</v>
      </c>
      <c r="BS8" t="s">
        <v>96</v>
      </c>
      <c r="BT8" t="s">
        <v>175</v>
      </c>
      <c r="BU8" t="s">
        <v>176</v>
      </c>
      <c r="BV8" t="s">
        <v>177</v>
      </c>
      <c r="BW8" t="s">
        <v>178</v>
      </c>
      <c r="BX8" t="s">
        <v>116</v>
      </c>
      <c r="BY8" t="s">
        <v>179</v>
      </c>
      <c r="BZ8" t="s">
        <v>180</v>
      </c>
    </row>
    <row r="9" spans="1:79" x14ac:dyDescent="0.3">
      <c r="A9">
        <v>8</v>
      </c>
      <c r="B9" t="s">
        <v>79</v>
      </c>
      <c r="C9" t="s">
        <v>181</v>
      </c>
      <c r="D9" t="s">
        <v>81</v>
      </c>
      <c r="E9" t="s">
        <v>182</v>
      </c>
      <c r="G9" t="s">
        <v>183</v>
      </c>
      <c r="H9">
        <v>2025</v>
      </c>
      <c r="J9" t="s">
        <v>84</v>
      </c>
      <c r="M9" t="s">
        <v>89</v>
      </c>
      <c r="N9" t="s">
        <v>106</v>
      </c>
      <c r="O9" t="s">
        <v>184</v>
      </c>
      <c r="R9">
        <v>3</v>
      </c>
      <c r="S9" t="s">
        <v>88</v>
      </c>
      <c r="W9">
        <v>87</v>
      </c>
      <c r="X9">
        <v>6000</v>
      </c>
      <c r="Y9">
        <v>113</v>
      </c>
      <c r="Z9">
        <v>4500</v>
      </c>
      <c r="AA9">
        <v>4500</v>
      </c>
      <c r="AB9" t="s">
        <v>89</v>
      </c>
      <c r="AO9">
        <v>4030</v>
      </c>
      <c r="AP9">
        <v>1710</v>
      </c>
      <c r="AQ9">
        <v>1635</v>
      </c>
      <c r="AR9">
        <v>2525</v>
      </c>
      <c r="AZ9">
        <v>5</v>
      </c>
      <c r="BA9">
        <v>369</v>
      </c>
      <c r="BB9">
        <v>36</v>
      </c>
      <c r="BL9" t="s">
        <v>91</v>
      </c>
      <c r="BM9" t="s">
        <v>107</v>
      </c>
      <c r="BN9" t="s">
        <v>108</v>
      </c>
      <c r="BO9" t="s">
        <v>185</v>
      </c>
      <c r="BP9" t="s">
        <v>153</v>
      </c>
      <c r="BS9" t="s">
        <v>96</v>
      </c>
      <c r="BT9" t="s">
        <v>186</v>
      </c>
      <c r="BV9" t="s">
        <v>187</v>
      </c>
      <c r="BW9" t="s">
        <v>165</v>
      </c>
      <c r="BX9" t="s">
        <v>188</v>
      </c>
      <c r="BY9" t="s">
        <v>189</v>
      </c>
    </row>
    <row r="10" spans="1:79" x14ac:dyDescent="0.3">
      <c r="A10">
        <v>9</v>
      </c>
      <c r="B10" t="s">
        <v>79</v>
      </c>
      <c r="C10" t="s">
        <v>190</v>
      </c>
      <c r="D10" t="s">
        <v>120</v>
      </c>
      <c r="E10" t="s">
        <v>191</v>
      </c>
      <c r="G10" t="s">
        <v>192</v>
      </c>
      <c r="H10">
        <v>2025</v>
      </c>
      <c r="J10" t="s">
        <v>84</v>
      </c>
      <c r="M10" t="s">
        <v>89</v>
      </c>
      <c r="N10" t="s">
        <v>106</v>
      </c>
      <c r="O10" t="s">
        <v>184</v>
      </c>
      <c r="P10">
        <v>7</v>
      </c>
      <c r="AB10" t="s">
        <v>89</v>
      </c>
      <c r="AZ10">
        <v>5</v>
      </c>
      <c r="BO10" t="s">
        <v>185</v>
      </c>
      <c r="BP10" t="s">
        <v>153</v>
      </c>
      <c r="BT10" t="s">
        <v>193</v>
      </c>
      <c r="BV10" t="s">
        <v>194</v>
      </c>
      <c r="BW10" t="s">
        <v>126</v>
      </c>
      <c r="BY10" t="s">
        <v>195</v>
      </c>
    </row>
    <row r="11" spans="1:79" x14ac:dyDescent="0.3">
      <c r="A11">
        <v>10</v>
      </c>
      <c r="B11" t="s">
        <v>79</v>
      </c>
      <c r="C11" t="s">
        <v>196</v>
      </c>
      <c r="D11" t="s">
        <v>81</v>
      </c>
      <c r="E11" t="s">
        <v>197</v>
      </c>
      <c r="G11" t="s">
        <v>198</v>
      </c>
      <c r="H11">
        <v>2025</v>
      </c>
      <c r="J11" t="s">
        <v>84</v>
      </c>
      <c r="M11" t="s">
        <v>85</v>
      </c>
      <c r="N11" t="s">
        <v>106</v>
      </c>
      <c r="O11" t="s">
        <v>87</v>
      </c>
      <c r="R11">
        <v>3</v>
      </c>
      <c r="S11" t="s">
        <v>88</v>
      </c>
      <c r="T11">
        <v>1496</v>
      </c>
      <c r="W11">
        <v>90</v>
      </c>
      <c r="X11">
        <v>5500</v>
      </c>
      <c r="Y11">
        <v>141</v>
      </c>
      <c r="Z11">
        <v>3600</v>
      </c>
      <c r="AA11">
        <v>3600</v>
      </c>
      <c r="AB11" t="s">
        <v>89</v>
      </c>
      <c r="AD11" t="s">
        <v>90</v>
      </c>
      <c r="AH11">
        <v>35</v>
      </c>
      <c r="AO11">
        <v>4310</v>
      </c>
      <c r="AP11">
        <v>1770</v>
      </c>
      <c r="AQ11">
        <v>1615</v>
      </c>
      <c r="AS11">
        <v>210</v>
      </c>
      <c r="AY11">
        <v>1575</v>
      </c>
      <c r="AZ11">
        <v>5</v>
      </c>
      <c r="BA11">
        <v>466</v>
      </c>
      <c r="BL11" t="s">
        <v>91</v>
      </c>
      <c r="BM11" t="s">
        <v>107</v>
      </c>
      <c r="BN11" t="s">
        <v>108</v>
      </c>
      <c r="BO11" t="s">
        <v>109</v>
      </c>
      <c r="BP11" t="s">
        <v>110</v>
      </c>
      <c r="BQ11" t="s">
        <v>199</v>
      </c>
      <c r="BR11">
        <v>17</v>
      </c>
      <c r="BS11" t="s">
        <v>96</v>
      </c>
      <c r="BT11" t="s">
        <v>193</v>
      </c>
      <c r="BU11" t="s">
        <v>140</v>
      </c>
      <c r="BV11" t="s">
        <v>200</v>
      </c>
      <c r="BW11" t="s">
        <v>126</v>
      </c>
      <c r="BY11" t="s">
        <v>189</v>
      </c>
    </row>
    <row r="12" spans="1:79" x14ac:dyDescent="0.3">
      <c r="A12">
        <v>11</v>
      </c>
      <c r="B12" t="s">
        <v>79</v>
      </c>
      <c r="C12" t="s">
        <v>201</v>
      </c>
      <c r="D12" t="s">
        <v>81</v>
      </c>
      <c r="E12" t="s">
        <v>202</v>
      </c>
      <c r="G12" t="s">
        <v>203</v>
      </c>
      <c r="H12">
        <v>2025</v>
      </c>
      <c r="J12" t="s">
        <v>84</v>
      </c>
      <c r="M12" t="s">
        <v>204</v>
      </c>
      <c r="N12" t="s">
        <v>86</v>
      </c>
      <c r="P12">
        <v>1</v>
      </c>
      <c r="AD12" t="s">
        <v>205</v>
      </c>
      <c r="AE12">
        <v>165</v>
      </c>
      <c r="AF12">
        <v>87</v>
      </c>
      <c r="AG12">
        <v>252</v>
      </c>
      <c r="AH12">
        <v>338</v>
      </c>
      <c r="AI12" t="s">
        <v>206</v>
      </c>
      <c r="AJ12">
        <v>73.11</v>
      </c>
      <c r="AK12">
        <v>453</v>
      </c>
      <c r="AL12">
        <v>22</v>
      </c>
      <c r="AM12">
        <v>150</v>
      </c>
      <c r="AN12" t="s">
        <v>207</v>
      </c>
      <c r="AO12">
        <v>4690</v>
      </c>
      <c r="AP12">
        <v>1860</v>
      </c>
      <c r="AQ12">
        <v>1650</v>
      </c>
      <c r="AR12">
        <v>2850</v>
      </c>
      <c r="AS12">
        <v>200</v>
      </c>
      <c r="AT12">
        <v>17.7</v>
      </c>
      <c r="AU12">
        <v>25.4</v>
      </c>
      <c r="AY12">
        <v>2585</v>
      </c>
      <c r="AZ12">
        <v>5</v>
      </c>
      <c r="BA12">
        <v>452</v>
      </c>
      <c r="BC12">
        <v>1500</v>
      </c>
      <c r="BH12">
        <v>0</v>
      </c>
      <c r="BI12">
        <v>5.0999999999999996</v>
      </c>
      <c r="BL12" t="s">
        <v>91</v>
      </c>
      <c r="BM12" t="s">
        <v>208</v>
      </c>
      <c r="BN12" t="s">
        <v>209</v>
      </c>
      <c r="BO12" t="s">
        <v>210</v>
      </c>
      <c r="BP12" t="s">
        <v>211</v>
      </c>
      <c r="BQ12" t="s">
        <v>95</v>
      </c>
      <c r="BR12">
        <v>20</v>
      </c>
      <c r="BS12" t="s">
        <v>96</v>
      </c>
      <c r="BT12" t="s">
        <v>125</v>
      </c>
      <c r="BU12" t="s">
        <v>98</v>
      </c>
      <c r="BV12" t="s">
        <v>212</v>
      </c>
      <c r="BW12" t="s">
        <v>213</v>
      </c>
      <c r="BX12" t="s">
        <v>101</v>
      </c>
      <c r="BY12" t="s">
        <v>214</v>
      </c>
    </row>
    <row r="13" spans="1:79" x14ac:dyDescent="0.3">
      <c r="A13">
        <v>12</v>
      </c>
      <c r="B13" t="s">
        <v>79</v>
      </c>
      <c r="C13" t="s">
        <v>215</v>
      </c>
      <c r="D13" t="s">
        <v>81</v>
      </c>
      <c r="E13" t="s">
        <v>216</v>
      </c>
      <c r="G13" t="s">
        <v>159</v>
      </c>
      <c r="H13">
        <v>2025</v>
      </c>
      <c r="J13" t="s">
        <v>84</v>
      </c>
      <c r="M13" t="s">
        <v>130</v>
      </c>
      <c r="N13" t="s">
        <v>131</v>
      </c>
      <c r="O13" t="s">
        <v>132</v>
      </c>
      <c r="P13">
        <v>6</v>
      </c>
      <c r="Q13" t="s">
        <v>133</v>
      </c>
      <c r="R13">
        <v>4</v>
      </c>
      <c r="S13" t="s">
        <v>88</v>
      </c>
      <c r="T13">
        <v>2755</v>
      </c>
      <c r="V13" t="s">
        <v>134</v>
      </c>
      <c r="W13">
        <v>221</v>
      </c>
      <c r="Y13">
        <v>550</v>
      </c>
      <c r="Z13">
        <v>1600</v>
      </c>
      <c r="AA13">
        <v>2800</v>
      </c>
      <c r="AB13" t="s">
        <v>130</v>
      </c>
      <c r="AO13">
        <v>4795</v>
      </c>
      <c r="AP13">
        <v>1855</v>
      </c>
      <c r="AQ13">
        <v>1835</v>
      </c>
      <c r="AR13">
        <v>2745</v>
      </c>
      <c r="AS13">
        <v>227</v>
      </c>
      <c r="AY13">
        <v>2750</v>
      </c>
      <c r="AZ13">
        <v>7</v>
      </c>
      <c r="BB13">
        <v>80</v>
      </c>
      <c r="BC13">
        <v>3000</v>
      </c>
      <c r="BL13" t="s">
        <v>135</v>
      </c>
      <c r="BO13" t="s">
        <v>136</v>
      </c>
      <c r="BP13" t="s">
        <v>137</v>
      </c>
      <c r="BS13" t="s">
        <v>96</v>
      </c>
      <c r="BT13" t="s">
        <v>139</v>
      </c>
      <c r="BU13" t="s">
        <v>217</v>
      </c>
      <c r="BV13" t="s">
        <v>218</v>
      </c>
      <c r="BW13" t="s">
        <v>142</v>
      </c>
      <c r="BX13" t="s">
        <v>116</v>
      </c>
      <c r="BY13" t="s">
        <v>219</v>
      </c>
      <c r="BZ13" t="s">
        <v>144</v>
      </c>
    </row>
    <row r="14" spans="1:79" x14ac:dyDescent="0.3">
      <c r="A14">
        <v>13</v>
      </c>
      <c r="B14" t="s">
        <v>79</v>
      </c>
      <c r="C14" t="s">
        <v>220</v>
      </c>
      <c r="D14" t="s">
        <v>221</v>
      </c>
      <c r="E14" t="s">
        <v>222</v>
      </c>
      <c r="G14" t="s">
        <v>223</v>
      </c>
      <c r="H14">
        <v>2025</v>
      </c>
      <c r="J14" t="s">
        <v>84</v>
      </c>
      <c r="M14" t="s">
        <v>89</v>
      </c>
      <c r="N14" t="s">
        <v>86</v>
      </c>
      <c r="O14" t="s">
        <v>224</v>
      </c>
      <c r="P14">
        <v>6</v>
      </c>
      <c r="Q14" t="s">
        <v>225</v>
      </c>
      <c r="R14">
        <v>3</v>
      </c>
      <c r="S14" t="s">
        <v>88</v>
      </c>
      <c r="T14">
        <v>1618</v>
      </c>
      <c r="V14" t="s">
        <v>226</v>
      </c>
      <c r="W14">
        <v>261</v>
      </c>
      <c r="X14">
        <v>6500</v>
      </c>
      <c r="Y14">
        <v>360</v>
      </c>
      <c r="Z14">
        <v>3000</v>
      </c>
      <c r="AA14">
        <v>4600</v>
      </c>
      <c r="AB14" t="s">
        <v>89</v>
      </c>
      <c r="AO14">
        <v>3995</v>
      </c>
      <c r="AP14">
        <v>1805</v>
      </c>
      <c r="AQ14">
        <v>1455</v>
      </c>
      <c r="AZ14">
        <v>4</v>
      </c>
      <c r="BI14">
        <v>5.5</v>
      </c>
      <c r="BM14" t="s">
        <v>227</v>
      </c>
      <c r="BN14" t="s">
        <v>228</v>
      </c>
      <c r="BO14" t="s">
        <v>229</v>
      </c>
      <c r="BP14" t="s">
        <v>230</v>
      </c>
      <c r="BQ14" t="s">
        <v>231</v>
      </c>
      <c r="BR14">
        <v>18</v>
      </c>
      <c r="BS14" t="s">
        <v>232</v>
      </c>
      <c r="BT14" t="s">
        <v>233</v>
      </c>
      <c r="BU14" t="s">
        <v>113</v>
      </c>
      <c r="BV14" t="s">
        <v>234</v>
      </c>
      <c r="BW14" t="s">
        <v>165</v>
      </c>
      <c r="BX14" t="s">
        <v>116</v>
      </c>
      <c r="BY14" t="s">
        <v>156</v>
      </c>
      <c r="BZ14" t="s">
        <v>235</v>
      </c>
      <c r="CA14" t="s">
        <v>236</v>
      </c>
    </row>
  </sheetData>
  <autoFilter ref="A1:CA1"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72A78-6040-4417-9FF2-B80F382D48B0}">
  <dimension ref="A1:AU4"/>
  <sheetViews>
    <sheetView tabSelected="1" topLeftCell="M1" workbookViewId="0">
      <selection activeCell="U4" sqref="U4"/>
    </sheetView>
  </sheetViews>
  <sheetFormatPr baseColWidth="10" defaultColWidth="11.5546875" defaultRowHeight="14.4" x14ac:dyDescent="0.3"/>
  <cols>
    <col min="1" max="1" width="4" style="3" bestFit="1" customWidth="1"/>
    <col min="2" max="2" width="13.6640625" style="3" customWidth="1"/>
    <col min="3" max="4" width="31.6640625" style="3" customWidth="1"/>
    <col min="5" max="5" width="22.6640625" style="3" customWidth="1"/>
    <col min="6" max="6" width="17.109375" style="3" customWidth="1"/>
    <col min="7" max="7" width="21.33203125" style="3" customWidth="1"/>
    <col min="8" max="8" width="11.33203125" style="3" customWidth="1"/>
    <col min="9" max="9" width="5" style="3" bestFit="1" customWidth="1"/>
    <col min="10" max="10" width="15.6640625" style="3" bestFit="1" customWidth="1"/>
    <col min="11" max="11" width="18.6640625" style="3" bestFit="1" customWidth="1"/>
    <col min="12" max="12" width="30.88671875" style="3" bestFit="1" customWidth="1"/>
    <col min="13" max="13" width="12.109375" style="3" bestFit="1" customWidth="1"/>
    <col min="14" max="14" width="8.33203125" style="3" bestFit="1" customWidth="1"/>
    <col min="15" max="15" width="11.6640625" style="3" bestFit="1" customWidth="1"/>
    <col min="16" max="16" width="13.5546875" style="3" bestFit="1" customWidth="1"/>
    <col min="17" max="17" width="8.6640625" style="3" bestFit="1" customWidth="1"/>
    <col min="18" max="18" width="7.33203125" style="3" bestFit="1" customWidth="1"/>
    <col min="19" max="19" width="16.6640625" style="3" bestFit="1" customWidth="1"/>
    <col min="20" max="20" width="6.5546875" style="3" bestFit="1" customWidth="1"/>
    <col min="21" max="21" width="20.88671875" style="3" bestFit="1" customWidth="1"/>
    <col min="22" max="22" width="38.109375" style="3" bestFit="1" customWidth="1"/>
    <col min="23" max="23" width="38.6640625" style="3" bestFit="1" customWidth="1"/>
    <col min="24" max="24" width="29.6640625" style="3" bestFit="1" customWidth="1"/>
    <col min="25" max="25" width="28.109375" style="3" bestFit="1" customWidth="1"/>
    <col min="26" max="26" width="38.6640625" style="3" bestFit="1" customWidth="1"/>
    <col min="27" max="27" width="39.33203125" style="3" bestFit="1" customWidth="1"/>
    <col min="28" max="28" width="26.88671875" style="3" bestFit="1" customWidth="1"/>
    <col min="29" max="29" width="28.44140625" style="3" bestFit="1" customWidth="1"/>
    <col min="30" max="30" width="48.6640625" style="3" bestFit="1" customWidth="1"/>
    <col min="31" max="31" width="44.6640625" style="3" bestFit="1" customWidth="1"/>
    <col min="32" max="32" width="17.33203125" style="3" bestFit="1" customWidth="1"/>
    <col min="33" max="33" width="19" style="3" bestFit="1" customWidth="1"/>
    <col min="34" max="34" width="9.88671875" style="3" bestFit="1" customWidth="1"/>
    <col min="35" max="35" width="12.33203125" style="3" bestFit="1" customWidth="1"/>
    <col min="36" max="36" width="13.109375" style="3" bestFit="1" customWidth="1"/>
    <col min="37" max="37" width="20.5546875" style="3" bestFit="1" customWidth="1"/>
    <col min="38" max="38" width="10.5546875" style="3" bestFit="1" customWidth="1"/>
    <col min="39" max="39" width="17.5546875" style="3" bestFit="1" customWidth="1"/>
    <col min="40" max="41" width="17" style="3" bestFit="1" customWidth="1"/>
    <col min="42" max="42" width="17.88671875" style="3" bestFit="1" customWidth="1"/>
    <col min="43" max="43" width="27.33203125" style="3" customWidth="1"/>
    <col min="44" max="44" width="23.109375" style="3" customWidth="1"/>
    <col min="45" max="45" width="27.6640625" style="3" customWidth="1"/>
    <col min="46" max="46" width="18" style="3" bestFit="1" customWidth="1"/>
    <col min="47" max="47" width="22.33203125" style="3" bestFit="1" customWidth="1"/>
    <col min="48" max="16384" width="11.5546875" style="3"/>
  </cols>
  <sheetData>
    <row r="1" spans="1:47" x14ac:dyDescent="0.3">
      <c r="U1" s="11" t="s">
        <v>265</v>
      </c>
      <c r="V1" s="12"/>
      <c r="W1" s="12"/>
      <c r="X1" s="12"/>
      <c r="Y1" s="12"/>
      <c r="Z1" s="12"/>
      <c r="AA1" s="13"/>
      <c r="AB1" s="11"/>
      <c r="AC1" s="12"/>
      <c r="AD1" s="12"/>
      <c r="AE1" s="12"/>
      <c r="AF1" s="11"/>
      <c r="AG1" s="12"/>
      <c r="AH1" s="12"/>
      <c r="AI1" s="12"/>
      <c r="AJ1" s="11"/>
      <c r="AK1" s="12"/>
      <c r="AL1" s="12"/>
      <c r="AM1" s="12"/>
      <c r="AN1" s="11"/>
      <c r="AO1" s="12"/>
      <c r="AP1" s="12"/>
      <c r="AQ1" s="12"/>
      <c r="AR1" s="11"/>
      <c r="AS1" s="12"/>
      <c r="AT1" s="12"/>
      <c r="AU1" s="12"/>
    </row>
    <row r="2" spans="1:47" customFormat="1" x14ac:dyDescent="0.3">
      <c r="A2" s="8" t="s">
        <v>237</v>
      </c>
      <c r="B2" s="1" t="s">
        <v>1</v>
      </c>
      <c r="C2" s="1" t="s">
        <v>2</v>
      </c>
      <c r="D2" s="1" t="s">
        <v>7</v>
      </c>
      <c r="E2" s="1" t="s">
        <v>277</v>
      </c>
      <c r="F2" s="1" t="s">
        <v>278</v>
      </c>
      <c r="G2" s="1" t="s">
        <v>297</v>
      </c>
      <c r="H2" s="1" t="s">
        <v>4</v>
      </c>
      <c r="I2" s="1" t="s">
        <v>7</v>
      </c>
      <c r="J2" s="1" t="s">
        <v>10</v>
      </c>
      <c r="K2" s="8" t="s">
        <v>259</v>
      </c>
      <c r="L2" s="8" t="s">
        <v>260</v>
      </c>
      <c r="M2" s="1" t="s">
        <v>11</v>
      </c>
      <c r="N2" s="1" t="s">
        <v>13</v>
      </c>
      <c r="O2" s="1" t="s">
        <v>14</v>
      </c>
      <c r="P2" s="1" t="s">
        <v>19</v>
      </c>
      <c r="Q2" s="1" t="s">
        <v>279</v>
      </c>
      <c r="R2" s="1" t="s">
        <v>280</v>
      </c>
      <c r="S2" s="8" t="s">
        <v>262</v>
      </c>
      <c r="T2" s="8" t="s">
        <v>264</v>
      </c>
      <c r="U2" s="10" t="s">
        <v>266</v>
      </c>
      <c r="V2" s="10" t="s">
        <v>267</v>
      </c>
      <c r="W2" s="10" t="s">
        <v>268</v>
      </c>
      <c r="X2" s="10" t="s">
        <v>269</v>
      </c>
      <c r="Y2" s="10" t="s">
        <v>270</v>
      </c>
      <c r="Z2" s="10" t="s">
        <v>271</v>
      </c>
      <c r="AA2" s="10" t="s">
        <v>272</v>
      </c>
      <c r="AB2" s="10" t="s">
        <v>273</v>
      </c>
      <c r="AC2" s="10" t="s">
        <v>274</v>
      </c>
      <c r="AD2" s="10" t="s">
        <v>275</v>
      </c>
      <c r="AE2" s="10" t="s">
        <v>276</v>
      </c>
      <c r="AF2" s="10" t="s">
        <v>283</v>
      </c>
      <c r="AG2" s="10" t="s">
        <v>284</v>
      </c>
      <c r="AH2" s="10" t="s">
        <v>285</v>
      </c>
      <c r="AI2" s="10" t="s">
        <v>286</v>
      </c>
      <c r="AJ2" s="10" t="s">
        <v>287</v>
      </c>
      <c r="AK2" s="10" t="s">
        <v>288</v>
      </c>
      <c r="AL2" s="10" t="s">
        <v>289</v>
      </c>
      <c r="AM2" s="10" t="s">
        <v>290</v>
      </c>
      <c r="AN2" s="10" t="s">
        <v>291</v>
      </c>
      <c r="AO2" s="10" t="s">
        <v>292</v>
      </c>
      <c r="AP2" s="10" t="s">
        <v>293</v>
      </c>
      <c r="AQ2" s="10" t="s">
        <v>298</v>
      </c>
      <c r="AR2" s="10" t="s">
        <v>291</v>
      </c>
      <c r="AS2" s="10" t="s">
        <v>294</v>
      </c>
      <c r="AT2" s="10" t="s">
        <v>295</v>
      </c>
      <c r="AU2" s="10" t="s">
        <v>296</v>
      </c>
    </row>
    <row r="3" spans="1:47" x14ac:dyDescent="0.3">
      <c r="A3" s="3">
        <v>915</v>
      </c>
      <c r="B3" s="4" t="s">
        <v>238</v>
      </c>
      <c r="C3" s="3" t="s">
        <v>258</v>
      </c>
      <c r="D3" s="3">
        <v>2022</v>
      </c>
      <c r="E3" s="3" t="s">
        <v>331</v>
      </c>
      <c r="F3" s="3" t="s">
        <v>282</v>
      </c>
      <c r="G3" s="3" t="s">
        <v>281</v>
      </c>
      <c r="H3" s="3" t="s">
        <v>81</v>
      </c>
      <c r="I3" s="3">
        <v>2022</v>
      </c>
      <c r="J3" s="5">
        <v>25500000</v>
      </c>
      <c r="K3" s="5">
        <v>2000000</v>
      </c>
      <c r="L3" s="5">
        <f>J3-K3</f>
        <v>23500000</v>
      </c>
      <c r="N3" s="4" t="s">
        <v>261</v>
      </c>
      <c r="O3" s="4" t="s">
        <v>132</v>
      </c>
      <c r="P3" s="3">
        <v>20000</v>
      </c>
      <c r="S3" s="4" t="s">
        <v>263</v>
      </c>
      <c r="T3" s="9">
        <v>84391</v>
      </c>
    </row>
    <row r="4" spans="1:47" x14ac:dyDescent="0.3">
      <c r="A4" s="3">
        <v>838</v>
      </c>
      <c r="B4" s="3" t="s">
        <v>308</v>
      </c>
      <c r="C4" s="3" t="s">
        <v>309</v>
      </c>
      <c r="D4" s="3">
        <v>2024</v>
      </c>
      <c r="E4" s="3" t="s">
        <v>320</v>
      </c>
      <c r="F4" s="3" t="s">
        <v>282</v>
      </c>
      <c r="G4" s="3" t="s">
        <v>282</v>
      </c>
      <c r="H4" s="3" t="s">
        <v>321</v>
      </c>
      <c r="I4" s="3">
        <v>2024</v>
      </c>
      <c r="J4" s="5">
        <v>21990000</v>
      </c>
      <c r="K4" s="5">
        <v>500000</v>
      </c>
      <c r="L4" s="5">
        <f>J4-K4</f>
        <v>21490000</v>
      </c>
      <c r="N4" t="s">
        <v>322</v>
      </c>
      <c r="O4" t="s">
        <v>184</v>
      </c>
      <c r="P4" s="3">
        <v>18000</v>
      </c>
      <c r="S4" t="s">
        <v>323</v>
      </c>
      <c r="T4" s="3">
        <v>2125</v>
      </c>
    </row>
  </sheetData>
  <mergeCells count="6">
    <mergeCell ref="AR1:AU1"/>
    <mergeCell ref="U1:AA1"/>
    <mergeCell ref="AB1:AE1"/>
    <mergeCell ref="AF1:AI1"/>
    <mergeCell ref="AJ1:AM1"/>
    <mergeCell ref="AN1:AQ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30E8C-0FED-4711-BABC-6B27D5D8B30D}">
  <dimension ref="A1:N4"/>
  <sheetViews>
    <sheetView workbookViewId="0">
      <selection activeCell="C11" sqref="C11"/>
    </sheetView>
  </sheetViews>
  <sheetFormatPr baseColWidth="10" defaultColWidth="11.5546875" defaultRowHeight="14.4" x14ac:dyDescent="0.3"/>
  <cols>
    <col min="1" max="1" width="19.44140625" style="3" customWidth="1"/>
    <col min="2" max="2" width="32.109375" style="3" customWidth="1"/>
    <col min="3" max="4" width="25.6640625" style="3" customWidth="1"/>
    <col min="5" max="5" width="12.44140625" style="3" bestFit="1" customWidth="1"/>
    <col min="6" max="10" width="15.88671875" style="3" customWidth="1"/>
    <col min="11" max="12" width="39.33203125" style="3" customWidth="1"/>
    <col min="13" max="13" width="33.5546875" style="3" customWidth="1"/>
    <col min="14" max="14" width="25.109375" style="3" customWidth="1"/>
    <col min="15" max="16384" width="11.5546875" style="3"/>
  </cols>
  <sheetData>
    <row r="1" spans="1:14" x14ac:dyDescent="0.3">
      <c r="A1" s="2" t="s">
        <v>239</v>
      </c>
      <c r="B1" s="2" t="s">
        <v>240</v>
      </c>
      <c r="C1" s="2" t="s">
        <v>299</v>
      </c>
      <c r="D1" s="2" t="s">
        <v>304</v>
      </c>
      <c r="E1" s="2" t="s">
        <v>241</v>
      </c>
      <c r="F1" s="6" t="s">
        <v>249</v>
      </c>
      <c r="G1" s="6" t="s">
        <v>317</v>
      </c>
      <c r="H1" s="6" t="s">
        <v>305</v>
      </c>
      <c r="I1" s="6" t="s">
        <v>312</v>
      </c>
      <c r="J1" s="6" t="s">
        <v>307</v>
      </c>
      <c r="K1" s="2" t="s">
        <v>242</v>
      </c>
      <c r="L1" s="2" t="s">
        <v>310</v>
      </c>
      <c r="M1" s="2" t="s">
        <v>243</v>
      </c>
      <c r="N1" s="6" t="s">
        <v>248</v>
      </c>
    </row>
    <row r="2" spans="1:14" x14ac:dyDescent="0.3">
      <c r="A2" s="3">
        <v>13533</v>
      </c>
      <c r="B2" s="3" t="s">
        <v>244</v>
      </c>
      <c r="E2" s="5">
        <v>35800</v>
      </c>
      <c r="F2" s="5">
        <v>30000</v>
      </c>
      <c r="G2" s="5"/>
      <c r="H2" s="5" t="s">
        <v>306</v>
      </c>
      <c r="I2" s="5" t="s">
        <v>313</v>
      </c>
      <c r="J2" s="5" t="s">
        <v>315</v>
      </c>
      <c r="K2" s="4" t="s">
        <v>252</v>
      </c>
      <c r="L2" s="4" t="s">
        <v>311</v>
      </c>
      <c r="M2" s="4" t="s">
        <v>245</v>
      </c>
    </row>
    <row r="3" spans="1:14" x14ac:dyDescent="0.3">
      <c r="A3" s="3">
        <v>40159</v>
      </c>
      <c r="B3" s="3" t="s">
        <v>246</v>
      </c>
      <c r="E3" s="5">
        <v>66283</v>
      </c>
      <c r="F3" s="7" t="s">
        <v>250</v>
      </c>
      <c r="G3" s="7"/>
      <c r="H3" s="7" t="s">
        <v>306</v>
      </c>
      <c r="I3" s="7" t="s">
        <v>314</v>
      </c>
      <c r="J3" s="7" t="s">
        <v>316</v>
      </c>
      <c r="K3" s="4" t="s">
        <v>190</v>
      </c>
      <c r="L3" s="4"/>
      <c r="M3" s="4" t="s">
        <v>247</v>
      </c>
    </row>
    <row r="4" spans="1:14" x14ac:dyDescent="0.3">
      <c r="M4" s="4" t="s">
        <v>251</v>
      </c>
    </row>
  </sheetData>
  <pageMargins left="0.7" right="0.7" top="0.75" bottom="0.75" header="0.3" footer="0.3"/>
  <pageSetup orientation="landscape"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4AA83-A9DD-4F24-A439-EA7A9149A1A4}">
  <dimension ref="A1:N3"/>
  <sheetViews>
    <sheetView workbookViewId="0">
      <selection activeCell="H4" sqref="H4"/>
    </sheetView>
  </sheetViews>
  <sheetFormatPr baseColWidth="10" defaultColWidth="11.5546875" defaultRowHeight="14.4" x14ac:dyDescent="0.3"/>
  <cols>
    <col min="1" max="1" width="19.44140625" style="3" customWidth="1"/>
    <col min="2" max="2" width="32.109375" style="3" customWidth="1"/>
    <col min="3" max="4" width="25.6640625" style="3" customWidth="1"/>
    <col min="5" max="5" width="12.44140625" style="3" bestFit="1" customWidth="1"/>
    <col min="6" max="10" width="15.88671875" style="3" customWidth="1"/>
    <col min="11" max="12" width="39.33203125" style="3" customWidth="1"/>
    <col min="13" max="13" width="33.5546875" style="3" customWidth="1"/>
    <col min="14" max="14" width="25.109375" style="3" customWidth="1"/>
    <col min="15" max="16384" width="11.5546875" style="3"/>
  </cols>
  <sheetData>
    <row r="1" spans="1:14" x14ac:dyDescent="0.3">
      <c r="A1" s="2" t="s">
        <v>239</v>
      </c>
      <c r="B1" s="2" t="s">
        <v>240</v>
      </c>
      <c r="C1" s="2" t="s">
        <v>299</v>
      </c>
      <c r="D1" s="2" t="s">
        <v>304</v>
      </c>
      <c r="E1" s="2" t="s">
        <v>241</v>
      </c>
      <c r="F1" s="6" t="s">
        <v>249</v>
      </c>
      <c r="G1" s="6" t="s">
        <v>317</v>
      </c>
      <c r="H1" s="6" t="s">
        <v>305</v>
      </c>
      <c r="I1" s="6" t="s">
        <v>312</v>
      </c>
      <c r="J1" s="6" t="s">
        <v>307</v>
      </c>
      <c r="K1" s="2" t="s">
        <v>242</v>
      </c>
      <c r="L1" s="2" t="s">
        <v>310</v>
      </c>
      <c r="M1" s="2" t="s">
        <v>243</v>
      </c>
      <c r="N1" s="6" t="s">
        <v>248</v>
      </c>
    </row>
    <row r="2" spans="1:14" x14ac:dyDescent="0.3">
      <c r="A2" s="3">
        <v>47755</v>
      </c>
      <c r="B2" s="3" t="s">
        <v>324</v>
      </c>
      <c r="H2" s="3" t="s">
        <v>330</v>
      </c>
      <c r="I2" s="9" t="s">
        <v>314</v>
      </c>
      <c r="J2" s="3" t="s">
        <v>250</v>
      </c>
      <c r="L2" s="3" t="s">
        <v>328</v>
      </c>
      <c r="M2" s="3" t="s">
        <v>329</v>
      </c>
    </row>
    <row r="3" spans="1:14" x14ac:dyDescent="0.3">
      <c r="A3" s="3">
        <v>45076</v>
      </c>
      <c r="B3" s="3" t="s">
        <v>327</v>
      </c>
      <c r="H3" s="3" t="s">
        <v>71</v>
      </c>
      <c r="I3" s="3" t="s">
        <v>313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1EA82-C57A-4F6C-B143-22A7D401730B}">
  <dimension ref="A1:M3"/>
  <sheetViews>
    <sheetView workbookViewId="0">
      <selection activeCell="A4" sqref="A4:XFD4"/>
    </sheetView>
  </sheetViews>
  <sheetFormatPr baseColWidth="10" defaultColWidth="11.5546875" defaultRowHeight="14.4" x14ac:dyDescent="0.3"/>
  <cols>
    <col min="1" max="1" width="15.33203125" style="3" customWidth="1"/>
    <col min="2" max="3" width="25" style="3" customWidth="1"/>
    <col min="4" max="8" width="13.5546875" style="3" customWidth="1"/>
    <col min="9" max="9" width="11.5546875" style="3"/>
    <col min="10" max="11" width="17" style="3" customWidth="1"/>
    <col min="12" max="12" width="22.33203125" style="3" customWidth="1"/>
    <col min="13" max="13" width="21.109375" style="3" customWidth="1"/>
    <col min="14" max="16384" width="11.5546875" style="3"/>
  </cols>
  <sheetData>
    <row r="1" spans="1:13" x14ac:dyDescent="0.3">
      <c r="A1" s="2" t="s">
        <v>239</v>
      </c>
      <c r="B1" s="6" t="s">
        <v>253</v>
      </c>
      <c r="C1" s="6" t="s">
        <v>299</v>
      </c>
      <c r="D1" s="2" t="s">
        <v>300</v>
      </c>
      <c r="E1" s="2" t="s">
        <v>301</v>
      </c>
      <c r="F1" s="2" t="s">
        <v>326</v>
      </c>
      <c r="G1" s="2" t="s">
        <v>302</v>
      </c>
      <c r="H1" s="6" t="s">
        <v>255</v>
      </c>
      <c r="I1" s="2" t="s">
        <v>241</v>
      </c>
      <c r="J1" s="6" t="s">
        <v>249</v>
      </c>
      <c r="K1" s="6" t="s">
        <v>325</v>
      </c>
      <c r="L1" s="2" t="s">
        <v>243</v>
      </c>
      <c r="M1" s="6" t="s">
        <v>248</v>
      </c>
    </row>
    <row r="2" spans="1:13" x14ac:dyDescent="0.3">
      <c r="A2" s="3">
        <v>45532</v>
      </c>
      <c r="B2" s="3" t="s">
        <v>254</v>
      </c>
      <c r="E2" s="3" t="s">
        <v>318</v>
      </c>
      <c r="G2" s="3" t="s">
        <v>303</v>
      </c>
      <c r="H2" s="4" t="s">
        <v>250</v>
      </c>
      <c r="I2" s="5">
        <v>35546</v>
      </c>
      <c r="J2" s="5">
        <v>25000</v>
      </c>
      <c r="K2" s="5" t="s">
        <v>314</v>
      </c>
      <c r="L2" s="4" t="s">
        <v>247</v>
      </c>
    </row>
    <row r="3" spans="1:13" x14ac:dyDescent="0.3">
      <c r="A3" s="3">
        <v>46524</v>
      </c>
      <c r="B3" s="3" t="s">
        <v>256</v>
      </c>
      <c r="E3" s="3" t="s">
        <v>319</v>
      </c>
      <c r="H3" s="4" t="s">
        <v>257</v>
      </c>
      <c r="I3" s="5">
        <v>21416</v>
      </c>
      <c r="J3" s="4" t="s">
        <v>250</v>
      </c>
      <c r="K3" s="4" t="s">
        <v>313</v>
      </c>
      <c r="L3" s="4" t="s">
        <v>251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01A1BAE2DE7AF42A88364D49125E130" ma:contentTypeVersion="14" ma:contentTypeDescription="Crear nuevo documento." ma:contentTypeScope="" ma:versionID="5be12113553bba202029f98c88c16927">
  <xsd:schema xmlns:xsd="http://www.w3.org/2001/XMLSchema" xmlns:xs="http://www.w3.org/2001/XMLSchema" xmlns:p="http://schemas.microsoft.com/office/2006/metadata/properties" xmlns:ns2="4a8b8af4-029c-4d1b-a237-328becbf44c6" xmlns:ns3="6ac10914-d494-4ee3-afe6-e55ab09badb0" targetNamespace="http://schemas.microsoft.com/office/2006/metadata/properties" ma:root="true" ma:fieldsID="7c11e6a1f41e3dda690d86b3021c8b29" ns2:_="" ns3:_="">
    <xsd:import namespace="4a8b8af4-029c-4d1b-a237-328becbf44c6"/>
    <xsd:import namespace="6ac10914-d494-4ee3-afe6-e55ab09badb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8b8af4-029c-4d1b-a237-328becbf44c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8a6ac71b-eadb-4f9d-9a96-155308d405ec"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description="" ma:indexed="true"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ac10914-d494-4ee3-afe6-e55ab09badb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ccb7a6c-ba98-45fb-8916-486a97d19a94}" ma:internalName="TaxCatchAll" ma:showField="CatchAllData" ma:web="6ac10914-d494-4ee3-afe6-e55ab09badb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6ac10914-d494-4ee3-afe6-e55ab09badb0" xsi:nil="true"/>
    <lcf76f155ced4ddcb4097134ff3c332f xmlns="4a8b8af4-029c-4d1b-a237-328becbf44c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21CD37B-0A61-4FFB-B40A-42B45E5339E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a8b8af4-029c-4d1b-a237-328becbf44c6"/>
    <ds:schemaRef ds:uri="6ac10914-d494-4ee3-afe6-e55ab09badb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50B43BE-051B-4284-ACD8-69355E07A325}">
  <ds:schemaRefs>
    <ds:schemaRef ds:uri="http://schemas.microsoft.com/sharepoint/v3/contenttype/forms"/>
  </ds:schemaRefs>
</ds:datastoreItem>
</file>

<file path=customXml/itemProps3.xml><?xml version="1.0" encoding="utf-8"?>
<ds:datastoreItem xmlns:ds="http://schemas.openxmlformats.org/officeDocument/2006/customXml" ds:itemID="{83D286CF-F72C-4762-B5B3-BCDDF9903DA4}">
  <ds:schemaRefs>
    <ds:schemaRef ds:uri="http://schemas.microsoft.com/office/2006/metadata/properties"/>
    <ds:schemaRef ds:uri="http://schemas.microsoft.com/office/infopath/2007/PartnerControls"/>
    <ds:schemaRef ds:uri="6ac10914-d494-4ee3-afe6-e55ab09badb0"/>
    <ds:schemaRef ds:uri="4a8b8af4-029c-4d1b-a237-328becbf44c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Catálogo vehículos</vt:lpstr>
      <vt:lpstr>Catalogo Vehiculos Seminuevos</vt:lpstr>
      <vt:lpstr>Catalogo Repuestos</vt:lpstr>
      <vt:lpstr>Catalogo Accesorios</vt:lpstr>
      <vt:lpstr>Catalogo Merch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Felipe Espejo Muñoz</cp:lastModifiedBy>
  <dcterms:created xsi:type="dcterms:W3CDTF">2026-04-14T17:25:12Z</dcterms:created>
  <dcterms:modified xsi:type="dcterms:W3CDTF">2026-04-23T16:28:34Z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0x010100901A1BAE2DE7AF42A88364D49125E130</vt:lpwstr>
  </property>
  <property fmtid="{D5CDD505-2E9C-101B-9397-08002B2CF9AE}" pid="3" name="MediaServiceImageTags">
    <vt:lpwstr/>
  </property>
</Properties>
</file>