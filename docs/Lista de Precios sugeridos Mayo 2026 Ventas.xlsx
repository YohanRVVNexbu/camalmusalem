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cilia Olivares\Desktop\"/>
    </mc:Choice>
  </mc:AlternateContent>
  <xr:revisionPtr revIDLastSave="0" documentId="8_{FE768495-6B34-4361-AB24-D4672A3C5C07}" xr6:coauthVersionLast="47" xr6:coauthVersionMax="47" xr10:uidLastSave="{00000000-0000-0000-0000-000000000000}"/>
  <bookViews>
    <workbookView xWindow="-120" yWindow="-120" windowWidth="20730" windowHeight="11040" tabRatio="592" xr2:uid="{00000000-000D-0000-FFFF-FFFF00000000}"/>
  </bookViews>
  <sheets>
    <sheet name="LP Mayo 2026" sheetId="2" r:id="rId1"/>
  </sheets>
  <definedNames>
    <definedName name="_xlnm._FilterDatabase" localSheetId="0" hidden="1">'LP Mayo 2026'!$A$8:$AR$62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8" i="2" s="1"/>
  <c r="A69" i="2" l="1"/>
  <c r="A70" i="2" s="1"/>
  <c r="A71" i="2" s="1"/>
  <c r="A72" i="2" s="1"/>
</calcChain>
</file>

<file path=xl/sharedStrings.xml><?xml version="1.0" encoding="utf-8"?>
<sst xmlns="http://schemas.openxmlformats.org/spreadsheetml/2006/main" count="1935" uniqueCount="369">
  <si>
    <t>Bono Crédito</t>
  </si>
  <si>
    <t>Bono Crédito R9</t>
  </si>
  <si>
    <t>N°</t>
  </si>
  <si>
    <t>Clasificación</t>
  </si>
  <si>
    <t>Línea</t>
  </si>
  <si>
    <t>Versión</t>
  </si>
  <si>
    <t>Opción</t>
  </si>
  <si>
    <t>Precio</t>
  </si>
  <si>
    <t>Bono Base TCL</t>
  </si>
  <si>
    <t>Crédito TCL</t>
  </si>
  <si>
    <t>Crédito MAF</t>
  </si>
  <si>
    <t>Crédito TCL R9</t>
  </si>
  <si>
    <t>Crédito MAF R9</t>
  </si>
  <si>
    <t>Precio BONO Base+Crédito</t>
  </si>
  <si>
    <t>Precio BONO Base+Crédito R9</t>
  </si>
  <si>
    <t>Motor</t>
  </si>
  <si>
    <t>Caja</t>
  </si>
  <si>
    <t>Neblineros</t>
  </si>
  <si>
    <t>Car Play/Android Auto</t>
  </si>
  <si>
    <t># Aribags</t>
  </si>
  <si>
    <t>Frenos ABS</t>
  </si>
  <si>
    <t>Aire acond.</t>
  </si>
  <si>
    <t>Llantas</t>
  </si>
  <si>
    <t>Tamaño Llantas</t>
  </si>
  <si>
    <t>Mando al volante</t>
  </si>
  <si>
    <t>Bluetooth</t>
  </si>
  <si>
    <t>Inmovilizador</t>
  </si>
  <si>
    <t>Volante cuero</t>
  </si>
  <si>
    <t>Tapiz Cuero</t>
  </si>
  <si>
    <t>Tinted black windows</t>
  </si>
  <si>
    <t>Back CAM/ sensor</t>
  </si>
  <si>
    <t>Cruise ctrl</t>
  </si>
  <si>
    <t>Sun roof</t>
  </si>
  <si>
    <t>3ra corrida asientos</t>
  </si>
  <si>
    <t>VSC + HAC</t>
  </si>
  <si>
    <t>Toyota Safety Sense</t>
  </si>
  <si>
    <t>Mantención</t>
  </si>
  <si>
    <t>Alza vidrio elec.</t>
  </si>
  <si>
    <t>Unidad</t>
  </si>
  <si>
    <t>Jerarquía productos</t>
  </si>
  <si>
    <t>Impuesto Verde</t>
  </si>
  <si>
    <t>Materia</t>
  </si>
  <si>
    <t>Material</t>
  </si>
  <si>
    <t>Código de informe técnico</t>
  </si>
  <si>
    <t>PASAJEROS</t>
  </si>
  <si>
    <t>COROLLA SEDAN HV</t>
  </si>
  <si>
    <t>18CVTHVXLI-24PC</t>
  </si>
  <si>
    <t>18CVTHVXEI-25DCM</t>
  </si>
  <si>
    <t>18CVTHVXEI-24PC</t>
  </si>
  <si>
    <t>XEI HV 1.8 CVT</t>
  </si>
  <si>
    <t>18CVTHVXEI-01</t>
  </si>
  <si>
    <t>18CVTHVSEG-25DCM</t>
  </si>
  <si>
    <t>SUV</t>
  </si>
  <si>
    <t>YARIS CROSS HV</t>
  </si>
  <si>
    <t>XI 1.5 HEV CVT 15CVTHVXI</t>
  </si>
  <si>
    <t>15CVTHVXI</t>
  </si>
  <si>
    <t>15CVTHVXG</t>
  </si>
  <si>
    <t>COROLLA CROSS HEV</t>
  </si>
  <si>
    <t>X18CVTHVXEI-25MY</t>
  </si>
  <si>
    <t>X18CVTHVSEG-25MY</t>
  </si>
  <si>
    <t>RAV4 HV</t>
  </si>
  <si>
    <t>XLE HV 2.5 CVT-24PC A25HVXLE2C-24PC</t>
  </si>
  <si>
    <t>A25HVXLE2C-24PC</t>
  </si>
  <si>
    <t>LTD 2.5 4X4 CVT HV-24PC A25HVLTD4C-24PC</t>
  </si>
  <si>
    <t>A25HVLTD4C-24PC</t>
  </si>
  <si>
    <t>RAIZE</t>
  </si>
  <si>
    <t>12MTGASI-25PC</t>
  </si>
  <si>
    <t>12MTGASE MT</t>
  </si>
  <si>
    <t>12MTGASE</t>
  </si>
  <si>
    <t>12MTGASE-25PC</t>
  </si>
  <si>
    <t>12CVTGASE CVT</t>
  </si>
  <si>
    <t>12CVTGASE</t>
  </si>
  <si>
    <t>12CVTGASE-25PC</t>
  </si>
  <si>
    <t>12CVTGASG-25PC</t>
  </si>
  <si>
    <t>RAV4</t>
  </si>
  <si>
    <t>LE 2.0 4X2 CVT-24PC A20LE2C-24PC</t>
  </si>
  <si>
    <t>A20LE2C-24PC</t>
  </si>
  <si>
    <t>XLE 2.0 4X2 CVT-24PC A20XLE2C-24PC</t>
  </si>
  <si>
    <t>A20XLE2C-24PC</t>
  </si>
  <si>
    <t>FORTUNER</t>
  </si>
  <si>
    <t>SR5 2.8 TA 4X4 SR544AT28 -25PC</t>
  </si>
  <si>
    <t>SR544AT28 -25PC</t>
  </si>
  <si>
    <t>SRX 2.8 TA 4X4 SRX44AT28 -25PC</t>
  </si>
  <si>
    <t>SRX44AT28 -25PC</t>
  </si>
  <si>
    <t>SRX 2.8 TA 4X4</t>
  </si>
  <si>
    <t>SRX44AT28 -23PC</t>
  </si>
  <si>
    <t>SRX 2.8 TA 4X4 SRX44AT28 -25DCM</t>
  </si>
  <si>
    <t>SRX44AT28 -25DCM</t>
  </si>
  <si>
    <t>SR5 2.8 TM 4X4 SR544MT28 -25PC</t>
  </si>
  <si>
    <t>SR544MT28 -25PC</t>
  </si>
  <si>
    <t>4RUNNER</t>
  </si>
  <si>
    <t>SR5 2.4 TA 4X4</t>
  </si>
  <si>
    <t>4R24T8ATSR5 -5PAS</t>
  </si>
  <si>
    <t>SR5 2.4 TA 4X4 4R24T8ATSR5 -25FMC</t>
  </si>
  <si>
    <t>4R24T8ATSR5 -25FMC</t>
  </si>
  <si>
    <t>LTD 2.4 TA 4X4 4R24T8ATLTD -25FMC</t>
  </si>
  <si>
    <t>4R24T8ATLTD -25FMC</t>
  </si>
  <si>
    <t>LAND CRUISER PRADO</t>
  </si>
  <si>
    <t>VX-L 2.8 8AT DSL LC28D8ATVXL-25PC</t>
  </si>
  <si>
    <t>LC28D8ATVXL-25PC</t>
  </si>
  <si>
    <t>VX-L 2.8 8AT DSL LC28D8ATVXL-BL25PC</t>
  </si>
  <si>
    <t>LC28D8ATVXL-BL25PC</t>
  </si>
  <si>
    <t>LC28D8ATWX</t>
  </si>
  <si>
    <t>YARIS SEDAN</t>
  </si>
  <si>
    <t>I 1.5 MT 15MTGSLIY-25PC</t>
  </si>
  <si>
    <t>15MTGSLIY-25PC</t>
  </si>
  <si>
    <t>15MTGSLEY-25PC</t>
  </si>
  <si>
    <t>E 1.5 CVT 15CVTGSLEY-25PC</t>
  </si>
  <si>
    <t>15CVTGSLEY-25PC</t>
  </si>
  <si>
    <t>COMERCIALES</t>
  </si>
  <si>
    <t>HILUX</t>
  </si>
  <si>
    <t>DX 2.4 TM 4X2</t>
  </si>
  <si>
    <t>DX42MT24 -23PC</t>
  </si>
  <si>
    <t>DX 2.4 TM 4X2 DX42MT24 -25PC</t>
  </si>
  <si>
    <t>DX42MT24 -25PC</t>
  </si>
  <si>
    <t>DX 2.4 TM 4X2 DX42MT24 TSS -25PC</t>
  </si>
  <si>
    <t>DX42MT24 TSS -25PC</t>
  </si>
  <si>
    <t>SR 2.4 TM 4X2 SR42MT24 -25PC</t>
  </si>
  <si>
    <t>SR42MT24 -25PC</t>
  </si>
  <si>
    <t>DX 2.4 TM 4X4 DX44MT24 -25PC</t>
  </si>
  <si>
    <t>DX44MT24 -25PC</t>
  </si>
  <si>
    <t>DX 2.4 TM 4X4 DX44MT24 TSS -25PC</t>
  </si>
  <si>
    <t>DX44MT24 TSS -25PC</t>
  </si>
  <si>
    <t>SR 2.4 TM 4X4</t>
  </si>
  <si>
    <t>SR44MT24 -24PC</t>
  </si>
  <si>
    <t>SR 2.4 TM 4X4 SR44MT24 -25PC</t>
  </si>
  <si>
    <t>SR44MT24 -25PC</t>
  </si>
  <si>
    <t>SR 2.8 TM 4X4 SR44MT28 -25PC</t>
  </si>
  <si>
    <t>SR44MT28 -25PC</t>
  </si>
  <si>
    <t>SRV 2.8 TA 4X4 SRV44AT28 R -25PC</t>
  </si>
  <si>
    <t>SRV44AT28 R -25PC</t>
  </si>
  <si>
    <t>SRV 2.8 TA 4X4 SRV44AT28 -25PC</t>
  </si>
  <si>
    <t>SRV44AT28 -25PC</t>
  </si>
  <si>
    <t>FORTUNER GRS</t>
  </si>
  <si>
    <t>GRS 2.8 TA 4X4 GRS44AT28F -25DCM</t>
  </si>
  <si>
    <t>GRS44AT28F -25DCM</t>
  </si>
  <si>
    <t>YARIS GR</t>
  </si>
  <si>
    <t>GR 1.6 MT GR16MTAWD -25PC</t>
  </si>
  <si>
    <t>GR16MTAWD -25PC</t>
  </si>
  <si>
    <t>GR 1.6 AT GR16ATAWD -25PC</t>
  </si>
  <si>
    <t>GR16ATAWD -25PC</t>
  </si>
  <si>
    <t>HILUX GRS</t>
  </si>
  <si>
    <t>GRS 2.8 TA 4X4 GRS44AT28H -25DCM</t>
  </si>
  <si>
    <t>GRS44AT28H -25DCM</t>
  </si>
  <si>
    <t>GRS 2.8 TA 4X4 GRS44AT28H -25PC</t>
  </si>
  <si>
    <t>GRS44AT28H -25PC</t>
  </si>
  <si>
    <t>12MTGASI</t>
  </si>
  <si>
    <t>BZ4X</t>
  </si>
  <si>
    <t>BZ4XLTD42-25PC</t>
  </si>
  <si>
    <t>BZ4XLTD44-25PC</t>
  </si>
  <si>
    <t>15CVTHEVG</t>
  </si>
  <si>
    <t>12MTGASI MT</t>
  </si>
  <si>
    <t>YARIS SEDAN HV</t>
  </si>
  <si>
    <t>G 1.5 CVT 15CVTHEVG</t>
  </si>
  <si>
    <t>LE HEV 2.5 CVT-25FMC</t>
  </si>
  <si>
    <t>R625HVLE2C-25FMC</t>
  </si>
  <si>
    <t>XLE HEV 2.5 4X2 CTV-25FMC</t>
  </si>
  <si>
    <t>R625HVXLE2C-25FMC</t>
  </si>
  <si>
    <t>XSE HEV 2.5 4X4 CTV-25FMC</t>
  </si>
  <si>
    <t>R625HVXSE4C-25FMC</t>
  </si>
  <si>
    <t>LE GAS 2.0 CVT-25FMC</t>
  </si>
  <si>
    <t>R620LE2C-25FMC</t>
  </si>
  <si>
    <t>LE GAS 2.0 4X4 CVT-25FMC</t>
  </si>
  <si>
    <t>R620LE4C-25FMC</t>
  </si>
  <si>
    <t>XLE GAS 2.0 4X2 CTV-25FMC</t>
  </si>
  <si>
    <t>R620XLE2C-25FMC</t>
  </si>
  <si>
    <t>ELE</t>
  </si>
  <si>
    <t>Automático</t>
  </si>
  <si>
    <t/>
  </si>
  <si>
    <t>Sí</t>
  </si>
  <si>
    <t>Ocho</t>
  </si>
  <si>
    <t>CLI (2)</t>
  </si>
  <si>
    <t>20</t>
  </si>
  <si>
    <t>Ecocuero</t>
  </si>
  <si>
    <t>FR/RR + CAM</t>
  </si>
  <si>
    <t>%</t>
  </si>
  <si>
    <t>00TCL0000300000079</t>
  </si>
  <si>
    <t>BZ4XLTD42</t>
  </si>
  <si>
    <t>70002066</t>
  </si>
  <si>
    <t>TY10281EL0925S00-8</t>
  </si>
  <si>
    <t>00TCL0000300000080</t>
  </si>
  <si>
    <t>BZ4XLTD44</t>
  </si>
  <si>
    <t>70002069</t>
  </si>
  <si>
    <t>TY10270EL0925S00-6</t>
  </si>
  <si>
    <t>1.800</t>
  </si>
  <si>
    <t>Automático CVT</t>
  </si>
  <si>
    <t>9"</t>
  </si>
  <si>
    <t>Siete</t>
  </si>
  <si>
    <t>CLI</t>
  </si>
  <si>
    <t>16</t>
  </si>
  <si>
    <t>CAM</t>
  </si>
  <si>
    <t>00TCL0000100000044</t>
  </si>
  <si>
    <t>18CVTHVXLI</t>
  </si>
  <si>
    <t>70001931</t>
  </si>
  <si>
    <t>TY9893E60325S00-1</t>
  </si>
  <si>
    <t>1800</t>
  </si>
  <si>
    <t>18CVTHVXEI</t>
  </si>
  <si>
    <t>70002047</t>
  </si>
  <si>
    <t>70001932</t>
  </si>
  <si>
    <t>70001743</t>
  </si>
  <si>
    <t>TY8971E60223S00-1</t>
  </si>
  <si>
    <t>17</t>
  </si>
  <si>
    <t>ACC</t>
  </si>
  <si>
    <t>18CVTHVSEG</t>
  </si>
  <si>
    <t>70002048</t>
  </si>
  <si>
    <t>1.500</t>
  </si>
  <si>
    <t>10"</t>
  </si>
  <si>
    <t>Seis</t>
  </si>
  <si>
    <t>00TCL0000100000014</t>
  </si>
  <si>
    <t>70002031</t>
  </si>
  <si>
    <t>TY10364E61125S00-1</t>
  </si>
  <si>
    <t>1500</t>
  </si>
  <si>
    <t>00TCL0000300000071</t>
  </si>
  <si>
    <t>70001762</t>
  </si>
  <si>
    <t>TY9973E60525S00-4</t>
  </si>
  <si>
    <t>00TCL0000300000068</t>
  </si>
  <si>
    <t>70002050</t>
  </si>
  <si>
    <t>RR + CAM</t>
  </si>
  <si>
    <t>00TCL0000300000058</t>
  </si>
  <si>
    <t>X18CVTHVXEI</t>
  </si>
  <si>
    <t>70001952</t>
  </si>
  <si>
    <t>TY9498E60524S00-1</t>
  </si>
  <si>
    <t>18</t>
  </si>
  <si>
    <t>X18CVTHVSEG</t>
  </si>
  <si>
    <t>70001953</t>
  </si>
  <si>
    <t>2.500</t>
  </si>
  <si>
    <t>8"</t>
  </si>
  <si>
    <t>VSC+HAC+TSC</t>
  </si>
  <si>
    <t>00TCL0000300000037</t>
  </si>
  <si>
    <t>A25HVXLE2C</t>
  </si>
  <si>
    <t>70001885</t>
  </si>
  <si>
    <t>TY9887E60325S00-9</t>
  </si>
  <si>
    <t>SI + BSM</t>
  </si>
  <si>
    <t>00TCL0000300000038</t>
  </si>
  <si>
    <t>A25HVLTD4C</t>
  </si>
  <si>
    <t>70001887</t>
  </si>
  <si>
    <t>TY9817E60125S00-9</t>
  </si>
  <si>
    <t>VSC+HAC</t>
  </si>
  <si>
    <t>R625HVLE2C</t>
  </si>
  <si>
    <t>70002075</t>
  </si>
  <si>
    <t>TY10374E61125S00-7</t>
  </si>
  <si>
    <t>R625HVXLE2C</t>
  </si>
  <si>
    <t>70002078</t>
  </si>
  <si>
    <t>R625HVXSE4C</t>
  </si>
  <si>
    <t>70002079</t>
  </si>
  <si>
    <t>TY10398E61225S00-3</t>
  </si>
  <si>
    <t>1.200</t>
  </si>
  <si>
    <t>Mecánico 5 Velocidades</t>
  </si>
  <si>
    <t>7"</t>
  </si>
  <si>
    <t>Dos</t>
  </si>
  <si>
    <t>00TCL0000300000059</t>
  </si>
  <si>
    <t>70001478</t>
  </si>
  <si>
    <t>TY8392E60821S00-7</t>
  </si>
  <si>
    <t>70002024</t>
  </si>
  <si>
    <t>TY10089E60725S00-1</t>
  </si>
  <si>
    <t>70001479</t>
  </si>
  <si>
    <t>70002025</t>
  </si>
  <si>
    <t>15</t>
  </si>
  <si>
    <t>00TCL0000300000060</t>
  </si>
  <si>
    <t>70001483</t>
  </si>
  <si>
    <t>TY8393E60821S00-2</t>
  </si>
  <si>
    <t>70002026</t>
  </si>
  <si>
    <t>TY10097E60725S00-4</t>
  </si>
  <si>
    <t>12CVTGASG</t>
  </si>
  <si>
    <t>70002027</t>
  </si>
  <si>
    <t>2.000</t>
  </si>
  <si>
    <t>00TCL0000300000036</t>
  </si>
  <si>
    <t>A20LE2C</t>
  </si>
  <si>
    <t>70001882</t>
  </si>
  <si>
    <t>TY9882E60325S00-1</t>
  </si>
  <si>
    <t>2000</t>
  </si>
  <si>
    <t>A20XLE2C</t>
  </si>
  <si>
    <t>70001884</t>
  </si>
  <si>
    <t>R620LE2C</t>
  </si>
  <si>
    <t>70002074</t>
  </si>
  <si>
    <t>TY10363E61125S00-5</t>
  </si>
  <si>
    <t>00TCL0000300000081</t>
  </si>
  <si>
    <t>R620LE4C</t>
  </si>
  <si>
    <t>70002076</t>
  </si>
  <si>
    <t>TY10399E61225S00-K</t>
  </si>
  <si>
    <t>R620XLE2C</t>
  </si>
  <si>
    <t>70002077</t>
  </si>
  <si>
    <t>2800</t>
  </si>
  <si>
    <t>00TCL0000300000026</t>
  </si>
  <si>
    <t>SR544AT28</t>
  </si>
  <si>
    <t>70001988</t>
  </si>
  <si>
    <t>TY9896E60325M00-6</t>
  </si>
  <si>
    <t>VSC+HAC+TSC+DAC</t>
  </si>
  <si>
    <t>SRX44AT28</t>
  </si>
  <si>
    <t>70001989</t>
  </si>
  <si>
    <t>70001820</t>
  </si>
  <si>
    <t>TY8782E61022M00-1</t>
  </si>
  <si>
    <t>2400</t>
  </si>
  <si>
    <t>70002044</t>
  </si>
  <si>
    <t>Mecánico 6 Velocidades</t>
  </si>
  <si>
    <t>00TCL0000300000040</t>
  </si>
  <si>
    <t>SR544MT28</t>
  </si>
  <si>
    <t>70001987</t>
  </si>
  <si>
    <t>TY10073E60625M00-5</t>
  </si>
  <si>
    <t>00TCL0000300000012</t>
  </si>
  <si>
    <t>4R24SR544</t>
  </si>
  <si>
    <t>70001923</t>
  </si>
  <si>
    <t>TY9929T3C0425M00-K</t>
  </si>
  <si>
    <t>70002000</t>
  </si>
  <si>
    <t>TY9929T3C0425M01-4</t>
  </si>
  <si>
    <t>4R24LTD44</t>
  </si>
  <si>
    <t>70001924</t>
  </si>
  <si>
    <t>VSC+HAC+DAC+CRAWL</t>
  </si>
  <si>
    <t>00TCL0000300000003</t>
  </si>
  <si>
    <t>LC28D8ATVXL</t>
  </si>
  <si>
    <t>70002051</t>
  </si>
  <si>
    <t>TY9569E60724M00-3</t>
  </si>
  <si>
    <t>70002052</t>
  </si>
  <si>
    <t>70002001</t>
  </si>
  <si>
    <t>00TCL0000100000002</t>
  </si>
  <si>
    <t>15MTGSLIY</t>
  </si>
  <si>
    <t>70002028</t>
  </si>
  <si>
    <t>TY10121E60725S00-2</t>
  </si>
  <si>
    <t>15MTGSLEY</t>
  </si>
  <si>
    <t>70002029</t>
  </si>
  <si>
    <t>15CVTGSLEY</t>
  </si>
  <si>
    <t>70002030</t>
  </si>
  <si>
    <t>TY10122E60725S00-9</t>
  </si>
  <si>
    <t>00TCL0000200000010</t>
  </si>
  <si>
    <t>DX42MT24</t>
  </si>
  <si>
    <t>70001801</t>
  </si>
  <si>
    <t>TY8792E61022M00-6</t>
  </si>
  <si>
    <t>70001977</t>
  </si>
  <si>
    <t>TY9901E60625M01-2</t>
  </si>
  <si>
    <t>DX42MT24 TSS</t>
  </si>
  <si>
    <t>70001978</t>
  </si>
  <si>
    <t>SR42MT24</t>
  </si>
  <si>
    <t>70001981</t>
  </si>
  <si>
    <t>00TCL0000200000014</t>
  </si>
  <si>
    <t>DX44MT24</t>
  </si>
  <si>
    <t>TY8792E61022M01-K</t>
  </si>
  <si>
    <t>DX44MT24 TSS</t>
  </si>
  <si>
    <t>70001979</t>
  </si>
  <si>
    <t>TY9901E60625M00-9</t>
  </si>
  <si>
    <t>70001980</t>
  </si>
  <si>
    <t>SR44MT24</t>
  </si>
  <si>
    <t>70001893</t>
  </si>
  <si>
    <t>70001982</t>
  </si>
  <si>
    <t>00TCL0000200000011</t>
  </si>
  <si>
    <t>SR44MT28</t>
  </si>
  <si>
    <t>70001983</t>
  </si>
  <si>
    <t>TY9889E60325M00-8</t>
  </si>
  <si>
    <t>00TCL0000200000012</t>
  </si>
  <si>
    <t>SRV44AT28</t>
  </si>
  <si>
    <t>70001985</t>
  </si>
  <si>
    <t>TY9839E60225M00-6</t>
  </si>
  <si>
    <t>70001984</t>
  </si>
  <si>
    <t>GRS44AT28F</t>
  </si>
  <si>
    <t>TY9896E60325M01-K</t>
  </si>
  <si>
    <t>70002045</t>
  </si>
  <si>
    <t>1618</t>
  </si>
  <si>
    <t>00TCL0000100000050</t>
  </si>
  <si>
    <t>GRY16MTAWD</t>
  </si>
  <si>
    <t>70001880</t>
  </si>
  <si>
    <t>TY9951E60425S00-5</t>
  </si>
  <si>
    <t>00TCL0000100000053</t>
  </si>
  <si>
    <t>GRY16ATAWD</t>
  </si>
  <si>
    <t>70001881</t>
  </si>
  <si>
    <t>TY9953E60425S00-6</t>
  </si>
  <si>
    <t>GRS44AT28</t>
  </si>
  <si>
    <t>70002043</t>
  </si>
  <si>
    <t>TY9839E60225M01-K</t>
  </si>
  <si>
    <t>70001986</t>
  </si>
  <si>
    <t>Precios Sugeridos Toyota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</si>
</sst>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0"/>
      <name val="Arial"/>
    </font>
    <font>
      <sz val="10"/>
      <name val="Arial"/>
      <family val="2"/>
    </font>
    <font>
      <b/>
      <sz val="22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2"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3" borderId="5" xfId="0" applyFill="1" applyBorder="1" applyAlignment="1">
      <alignment vertical="top"/>
    </xf>
    <xf numFmtId="3" fontId="0" fillId="3" borderId="5" xfId="0" applyNumberFormat="1" applyFill="1" applyBorder="1" applyAlignment="1">
      <alignment horizontal="right"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9" fontId="0" fillId="0" borderId="0" xfId="2" applyFont="1" applyAlignment="1">
      <alignment vertical="top"/>
    </xf>
    <xf numFmtId="0" fontId="0" fillId="5" borderId="8" xfId="0" applyFill="1" applyBorder="1" applyAlignment="1">
      <alignment vertical="top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/>
    </xf>
    <xf numFmtId="3" fontId="0" fillId="0" borderId="1" xfId="0" applyNumberFormat="1" applyBorder="1" applyAlignment="1">
      <alignment vertical="top"/>
    </xf>
    <xf numFmtId="0" fontId="0" fillId="6" borderId="0" xfId="0" applyFill="1" applyAlignment="1">
      <alignment vertical="top"/>
    </xf>
    <xf numFmtId="0" fontId="0" fillId="0" borderId="1" xfId="0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right" vertical="top"/>
    </xf>
    <xf numFmtId="3" fontId="0" fillId="0" borderId="1" xfId="0" applyNumberFormat="1" applyBorder="1" applyAlignment="1">
      <alignment horizontal="left" vertical="top"/>
    </xf>
    <xf numFmtId="0" fontId="0" fillId="0" borderId="13" xfId="0" applyBorder="1" applyAlignment="1">
      <alignment vertical="top"/>
    </xf>
    <xf numFmtId="3" fontId="0" fillId="0" borderId="4" xfId="0" applyNumberFormat="1" applyBorder="1" applyAlignment="1">
      <alignment horizontal="left" vertical="top"/>
    </xf>
    <xf numFmtId="3" fontId="0" fillId="0" borderId="4" xfId="0" applyNumberFormat="1" applyBorder="1" applyAlignment="1">
      <alignment vertical="top"/>
    </xf>
    <xf numFmtId="0" fontId="0" fillId="0" borderId="4" xfId="0" applyBorder="1" applyAlignment="1">
      <alignment horizontal="right" vertical="top"/>
    </xf>
    <xf numFmtId="0" fontId="0" fillId="0" borderId="14" xfId="0" applyBorder="1" applyAlignment="1">
      <alignment vertical="top"/>
    </xf>
    <xf numFmtId="0" fontId="1" fillId="0" borderId="1" xfId="0" applyFont="1" applyBorder="1" applyAlignment="1">
      <alignment vertical="top"/>
    </xf>
    <xf numFmtId="3" fontId="1" fillId="0" borderId="1" xfId="0" applyNumberFormat="1" applyFont="1" applyBorder="1" applyAlignment="1">
      <alignment horizontal="left" vertical="top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3" borderId="5" xfId="0" applyNumberFormat="1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  <xf numFmtId="0" fontId="0" fillId="5" borderId="8" xfId="0" applyFill="1" applyBorder="1" applyAlignment="1">
      <alignment horizontal="left" vertical="top"/>
    </xf>
    <xf numFmtId="3" fontId="0" fillId="3" borderId="5" xfId="0" applyNumberFormat="1" applyFill="1" applyBorder="1" applyAlignment="1">
      <alignment vertical="top"/>
    </xf>
    <xf numFmtId="0" fontId="0" fillId="3" borderId="6" xfId="0" applyFill="1" applyBorder="1" applyAlignment="1">
      <alignment vertical="top"/>
    </xf>
    <xf numFmtId="3" fontId="0" fillId="0" borderId="0" xfId="0" applyNumberFormat="1" applyAlignment="1">
      <alignment horizontal="left" vertical="top"/>
    </xf>
    <xf numFmtId="3" fontId="0" fillId="5" borderId="8" xfId="0" applyNumberForma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top"/>
    </xf>
    <xf numFmtId="42" fontId="3" fillId="4" borderId="10" xfId="1" applyFont="1" applyFill="1" applyBorder="1" applyAlignment="1">
      <alignment horizontal="center" vertical="top"/>
    </xf>
    <xf numFmtId="42" fontId="3" fillId="4" borderId="11" xfId="1" applyFont="1" applyFill="1" applyBorder="1" applyAlignment="1">
      <alignment horizontal="center" vertical="top"/>
    </xf>
    <xf numFmtId="42" fontId="3" fillId="4" borderId="12" xfId="1" applyFont="1" applyFill="1" applyBorder="1" applyAlignment="1">
      <alignment horizontal="center" vertical="top"/>
    </xf>
  </cellXfs>
  <cellStyles count="3">
    <cellStyle name="Moneda [0]" xfId="1" builtinId="7"/>
    <cellStyle name="Normal" xfId="0" builtinId="0"/>
    <cellStyle name="Porcentaje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62</xdr:row>
      <xdr:rowOff>102870</xdr:rowOff>
    </xdr:from>
    <xdr:to>
      <xdr:col>2</xdr:col>
      <xdr:colOff>1326606</xdr:colOff>
      <xdr:row>66</xdr:row>
      <xdr:rowOff>136332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647758-01A8-451E-A4F2-EC54B833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2294870"/>
          <a:ext cx="2517231" cy="719262"/>
        </a:xfrm>
        <a:prstGeom prst="rect">
          <a:avLst/>
        </a:prstGeom>
      </xdr:spPr>
    </xdr:pic>
    <xdr:clientData/>
  </xdr:twoCellAnchor>
  <xdr:twoCellAnchor>
    <xdr:from>
      <xdr:col>1</xdr:col>
      <xdr:colOff>870585</xdr:colOff>
      <xdr:row>0</xdr:row>
      <xdr:rowOff>95251</xdr:rowOff>
    </xdr:from>
    <xdr:to>
      <xdr:col>3</xdr:col>
      <xdr:colOff>871645</xdr:colOff>
      <xdr:row>6</xdr:row>
      <xdr:rowOff>1</xdr:rowOff>
    </xdr:to>
    <xdr:grpSp>
      <xdr:nvGrpSpPr>
        <xdr:cNvPr id="3" name="Grupo 3">
          <a:extLst>
            <a:ext uri="{FF2B5EF4-FFF2-40B4-BE49-F238E27FC236}">
              <a16:creationId xmlns:a16="http://schemas.microsoft.com/office/drawing/2014/main" id="{177B7F6F-085D-404F-8C34-20ADD23E9039}"/>
            </a:ext>
          </a:extLst>
        </xdr:cNvPr>
        <xdr:cNvGrpSpPr/>
      </xdr:nvGrpSpPr>
      <xdr:grpSpPr>
        <a:xfrm>
          <a:off x="1217967" y="95251"/>
          <a:ext cx="2376707" cy="1036544"/>
          <a:chOff x="1647023" y="97975"/>
          <a:chExt cx="2825902" cy="1039012"/>
        </a:xfrm>
      </xdr:grpSpPr>
      <xdr:pic>
        <xdr:nvPicPr>
          <xdr:cNvPr id="4" name="Imagen 4">
            <a:extLst>
              <a:ext uri="{FF2B5EF4-FFF2-40B4-BE49-F238E27FC236}">
                <a16:creationId xmlns:a16="http://schemas.microsoft.com/office/drawing/2014/main" id="{7A3625E0-1510-CA03-0ADF-808951BDC74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62397" b="39233"/>
          <a:stretch/>
        </xdr:blipFill>
        <xdr:spPr bwMode="auto">
          <a:xfrm>
            <a:off x="1861457" y="97975"/>
            <a:ext cx="2275114" cy="549402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Imagen 5" descr="한국 토요타 자동차">
            <a:extLst>
              <a:ext uri="{FF2B5EF4-FFF2-40B4-BE49-F238E27FC236}">
                <a16:creationId xmlns:a16="http://schemas.microsoft.com/office/drawing/2014/main" id="{2F8CFAB4-C4E2-F3A1-B2C1-A1BA4AE61A3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7231" b="23822"/>
          <a:stretch/>
        </xdr:blipFill>
        <xdr:spPr bwMode="auto">
          <a:xfrm>
            <a:off x="1647023" y="757132"/>
            <a:ext cx="2825902" cy="3798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3DD9-66F7-469E-949B-87BD329D6F02}">
  <sheetPr>
    <pageSetUpPr fitToPage="1"/>
  </sheetPr>
  <dimension ref="A3:AV100"/>
  <sheetViews>
    <sheetView showGridLines="0" tabSelected="1" zoomScale="85" zoomScaleNormal="85" workbookViewId="0">
      <pane xSplit="1" ySplit="8" topLeftCell="AH35" activePane="bottomRight" state="frozen"/>
      <selection pane="topRight" activeCell="B1" sqref="B1"/>
      <selection pane="bottomLeft" activeCell="A9" sqref="A9"/>
      <selection pane="bottomRight" activeCell="AM1" sqref="AM1:AM1048576"/>
    </sheetView>
  </sheetViews>
  <sheetFormatPr baseColWidth="10" defaultColWidth="8.85546875" defaultRowHeight="12.75" x14ac:dyDescent="0.2"/>
  <cols>
    <col min="1" max="1" width="5.28515625" bestFit="1" customWidth="1"/>
    <col min="2" max="2" width="14.140625" bestFit="1" customWidth="1"/>
    <col min="3" max="3" width="21.42578125" bestFit="1" customWidth="1"/>
    <col min="4" max="4" width="41.42578125" customWidth="1"/>
    <col min="5" max="5" width="22.28515625" customWidth="1"/>
    <col min="6" max="6" width="12.28515625" customWidth="1"/>
    <col min="7" max="7" width="16" customWidth="1"/>
    <col min="8" max="8" width="13" customWidth="1"/>
    <col min="9" max="9" width="13.42578125" customWidth="1"/>
    <col min="10" max="10" width="13.85546875" customWidth="1"/>
    <col min="11" max="11" width="15.7109375" customWidth="1"/>
    <col min="12" max="12" width="16.28515625" customWidth="1"/>
    <col min="13" max="13" width="16.7109375" customWidth="1"/>
    <col min="14" max="15" width="14.28515625" customWidth="1"/>
    <col min="16" max="16" width="7.7109375" customWidth="1"/>
    <col min="17" max="17" width="22.28515625" customWidth="1"/>
    <col min="18" max="18" width="11.7109375" customWidth="1"/>
    <col min="19" max="19" width="13.7109375" customWidth="1"/>
    <col min="20" max="20" width="11" customWidth="1"/>
    <col min="21" max="21" width="13.140625" customWidth="1"/>
    <col min="22" max="22" width="12.7109375" customWidth="1"/>
    <col min="23" max="23" width="8.85546875" customWidth="1"/>
    <col min="24" max="24" width="9.7109375" customWidth="1"/>
    <col min="25" max="25" width="10.5703125" customWidth="1"/>
    <col min="26" max="26" width="10.7109375" customWidth="1"/>
    <col min="27" max="27" width="13.7109375" customWidth="1"/>
    <col min="28" max="28" width="9.28515625" customWidth="1"/>
    <col min="29" max="29" width="13.140625" customWidth="1"/>
    <col min="30" max="30" width="12.85546875" customWidth="1"/>
    <col min="31" max="31" width="18.5703125" customWidth="1"/>
    <col min="32" max="32" width="11.5703125" customWidth="1"/>
    <col min="33" max="33" width="10.28515625" customWidth="1"/>
    <col min="34" max="34" width="19.5703125" customWidth="1"/>
    <col min="35" max="35" width="22.7109375" customWidth="1"/>
    <col min="36" max="36" width="8.85546875" customWidth="1"/>
    <col min="37" max="37" width="12.5703125" customWidth="1"/>
    <col min="38" max="38" width="11.5703125" customWidth="1"/>
    <col min="39" max="39" width="8.85546875" customWidth="1"/>
    <col min="40" max="40" width="20.5703125" customWidth="1"/>
    <col min="41" max="41" width="16" style="34" customWidth="1"/>
    <col min="42" max="42" width="16.5703125" customWidth="1"/>
    <col min="43" max="43" width="12.28515625" style="18" customWidth="1"/>
    <col min="44" max="44" width="24.85546875" bestFit="1" customWidth="1"/>
  </cols>
  <sheetData>
    <row r="3" spans="1:44" ht="27.75" x14ac:dyDescent="0.2">
      <c r="C3" s="38" t="s">
        <v>368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5" spans="1:44" x14ac:dyDescent="0.2">
      <c r="I5" s="10"/>
    </row>
    <row r="7" spans="1:44" ht="13.5" thickBot="1" x14ac:dyDescent="0.25">
      <c r="H7" s="39" t="s">
        <v>0</v>
      </c>
      <c r="I7" s="40"/>
      <c r="J7" s="41"/>
      <c r="K7" s="39" t="s">
        <v>1</v>
      </c>
      <c r="L7" s="40"/>
      <c r="M7" s="41"/>
    </row>
    <row r="8" spans="1:44" ht="39" thickBot="1" x14ac:dyDescent="0.25">
      <c r="A8" s="8" t="s">
        <v>2</v>
      </c>
      <c r="B8" s="9" t="s">
        <v>3</v>
      </c>
      <c r="C8" s="9" t="s">
        <v>4</v>
      </c>
      <c r="D8" s="9" t="s">
        <v>5</v>
      </c>
      <c r="E8" s="9" t="s">
        <v>6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0</v>
      </c>
      <c r="K8" s="11" t="s">
        <v>11</v>
      </c>
      <c r="L8" s="11" t="s">
        <v>12</v>
      </c>
      <c r="M8" s="11" t="s">
        <v>1</v>
      </c>
      <c r="N8" s="12" t="s">
        <v>13</v>
      </c>
      <c r="O8" s="12" t="s">
        <v>14</v>
      </c>
      <c r="P8" s="11" t="s">
        <v>15</v>
      </c>
      <c r="Q8" s="11" t="s">
        <v>16</v>
      </c>
      <c r="R8" s="11" t="s">
        <v>17</v>
      </c>
      <c r="S8" s="12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2" t="s">
        <v>23</v>
      </c>
      <c r="Y8" s="12" t="s">
        <v>24</v>
      </c>
      <c r="Z8" s="11" t="s">
        <v>25</v>
      </c>
      <c r="AA8" s="12" t="s">
        <v>26</v>
      </c>
      <c r="AB8" s="12" t="s">
        <v>27</v>
      </c>
      <c r="AC8" s="11" t="s">
        <v>28</v>
      </c>
      <c r="AD8" s="12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2" t="s">
        <v>35</v>
      </c>
      <c r="AK8" s="11" t="s">
        <v>36</v>
      </c>
      <c r="AL8" s="12" t="s">
        <v>37</v>
      </c>
      <c r="AM8" s="11" t="s">
        <v>38</v>
      </c>
      <c r="AN8" s="11" t="s">
        <v>39</v>
      </c>
      <c r="AO8" s="35" t="s">
        <v>40</v>
      </c>
      <c r="AP8" s="11" t="s">
        <v>41</v>
      </c>
      <c r="AQ8" s="31" t="s">
        <v>42</v>
      </c>
      <c r="AR8" s="13" t="s">
        <v>43</v>
      </c>
    </row>
    <row r="9" spans="1:44" x14ac:dyDescent="0.2">
      <c r="A9" s="1">
        <v>1</v>
      </c>
      <c r="B9" s="30" t="s">
        <v>52</v>
      </c>
      <c r="C9" s="1" t="s">
        <v>147</v>
      </c>
      <c r="D9" s="29" t="s">
        <v>148</v>
      </c>
      <c r="E9" s="1" t="s">
        <v>148</v>
      </c>
      <c r="F9" s="7">
        <v>44990000</v>
      </c>
      <c r="G9" s="7">
        <v>0</v>
      </c>
      <c r="H9" s="7">
        <v>-1000000</v>
      </c>
      <c r="I9" s="7">
        <v>-1000000</v>
      </c>
      <c r="J9" s="7">
        <v>-2000000</v>
      </c>
      <c r="K9" s="7">
        <v>0</v>
      </c>
      <c r="L9" s="7">
        <v>-1000000</v>
      </c>
      <c r="M9" s="7">
        <v>-1000000</v>
      </c>
      <c r="N9" s="7">
        <v>42990000</v>
      </c>
      <c r="O9" s="7">
        <v>41990000</v>
      </c>
      <c r="P9" s="7" t="s">
        <v>166</v>
      </c>
      <c r="Q9" s="32" t="s">
        <v>167</v>
      </c>
      <c r="R9" s="32" t="s">
        <v>168</v>
      </c>
      <c r="S9" s="32" t="s">
        <v>169</v>
      </c>
      <c r="T9" s="32" t="s">
        <v>170</v>
      </c>
      <c r="U9" s="32" t="s">
        <v>169</v>
      </c>
      <c r="V9" s="32" t="s">
        <v>171</v>
      </c>
      <c r="W9" s="32" t="s">
        <v>169</v>
      </c>
      <c r="X9" s="32" t="s">
        <v>172</v>
      </c>
      <c r="Y9" s="32" t="s">
        <v>169</v>
      </c>
      <c r="Z9" s="32" t="s">
        <v>169</v>
      </c>
      <c r="AA9" s="32" t="s">
        <v>169</v>
      </c>
      <c r="AB9" s="32" t="s">
        <v>169</v>
      </c>
      <c r="AC9" s="32" t="s">
        <v>173</v>
      </c>
      <c r="AD9" s="32" t="s">
        <v>168</v>
      </c>
      <c r="AE9" s="32" t="s">
        <v>174</v>
      </c>
      <c r="AF9" s="32" t="s">
        <v>169</v>
      </c>
      <c r="AG9" s="32" t="s">
        <v>168</v>
      </c>
      <c r="AH9" s="32" t="s">
        <v>168</v>
      </c>
      <c r="AI9" s="32" t="s">
        <v>169</v>
      </c>
      <c r="AJ9" s="32" t="s">
        <v>169</v>
      </c>
      <c r="AK9" s="32" t="s">
        <v>168</v>
      </c>
      <c r="AL9" s="32" t="s">
        <v>169</v>
      </c>
      <c r="AM9" s="32" t="s">
        <v>175</v>
      </c>
      <c r="AN9" s="32" t="s">
        <v>176</v>
      </c>
      <c r="AO9" s="29">
        <v>0</v>
      </c>
      <c r="AP9" s="32" t="s">
        <v>177</v>
      </c>
      <c r="AQ9" s="32" t="s">
        <v>178</v>
      </c>
      <c r="AR9" s="32" t="s">
        <v>179</v>
      </c>
    </row>
    <row r="10" spans="1:44" x14ac:dyDescent="0.2">
      <c r="A10" s="1">
        <f t="shared" ref="A10:A62" si="0">+A9+1</f>
        <v>2</v>
      </c>
      <c r="B10" s="30" t="s">
        <v>52</v>
      </c>
      <c r="C10" s="1" t="s">
        <v>147</v>
      </c>
      <c r="D10" s="1" t="s">
        <v>149</v>
      </c>
      <c r="E10" s="1" t="s">
        <v>149</v>
      </c>
      <c r="F10" s="7">
        <v>49990000</v>
      </c>
      <c r="G10" s="7">
        <v>0</v>
      </c>
      <c r="H10" s="7">
        <v>-1000000</v>
      </c>
      <c r="I10" s="7">
        <v>-1000000</v>
      </c>
      <c r="J10" s="7">
        <v>-2000000</v>
      </c>
      <c r="K10" s="7">
        <v>0</v>
      </c>
      <c r="L10" s="7">
        <v>-1000000</v>
      </c>
      <c r="M10" s="7">
        <v>-1000000</v>
      </c>
      <c r="N10" s="7">
        <v>47990000</v>
      </c>
      <c r="O10" s="7">
        <v>46990000</v>
      </c>
      <c r="P10" s="7" t="s">
        <v>166</v>
      </c>
      <c r="Q10" s="32" t="s">
        <v>167</v>
      </c>
      <c r="R10" s="32" t="s">
        <v>168</v>
      </c>
      <c r="S10" s="32" t="s">
        <v>169</v>
      </c>
      <c r="T10" s="32" t="s">
        <v>170</v>
      </c>
      <c r="U10" s="32" t="s">
        <v>169</v>
      </c>
      <c r="V10" s="32" t="s">
        <v>171</v>
      </c>
      <c r="W10" s="32" t="s">
        <v>169</v>
      </c>
      <c r="X10" s="32" t="s">
        <v>172</v>
      </c>
      <c r="Y10" s="32" t="s">
        <v>169</v>
      </c>
      <c r="Z10" s="32" t="s">
        <v>169</v>
      </c>
      <c r="AA10" s="32" t="s">
        <v>169</v>
      </c>
      <c r="AB10" s="32" t="s">
        <v>169</v>
      </c>
      <c r="AC10" s="32" t="s">
        <v>173</v>
      </c>
      <c r="AD10" s="32" t="s">
        <v>168</v>
      </c>
      <c r="AE10" s="32" t="s">
        <v>174</v>
      </c>
      <c r="AF10" s="32" t="s">
        <v>169</v>
      </c>
      <c r="AG10" s="32" t="s">
        <v>168</v>
      </c>
      <c r="AH10" s="32" t="s">
        <v>168</v>
      </c>
      <c r="AI10" s="32" t="s">
        <v>169</v>
      </c>
      <c r="AJ10" s="32" t="s">
        <v>169</v>
      </c>
      <c r="AK10" s="32" t="s">
        <v>168</v>
      </c>
      <c r="AL10" s="32" t="s">
        <v>169</v>
      </c>
      <c r="AM10" s="32" t="s">
        <v>175</v>
      </c>
      <c r="AN10" s="32" t="s">
        <v>180</v>
      </c>
      <c r="AO10" s="29">
        <v>0</v>
      </c>
      <c r="AP10" s="32" t="s">
        <v>181</v>
      </c>
      <c r="AQ10" s="32" t="s">
        <v>182</v>
      </c>
      <c r="AR10" s="32" t="s">
        <v>183</v>
      </c>
    </row>
    <row r="11" spans="1:44" x14ac:dyDescent="0.2">
      <c r="A11" s="1">
        <f t="shared" si="0"/>
        <v>3</v>
      </c>
      <c r="B11" s="1" t="s">
        <v>44</v>
      </c>
      <c r="C11" s="1" t="s">
        <v>45</v>
      </c>
      <c r="D11" s="1" t="s">
        <v>46</v>
      </c>
      <c r="E11" s="1" t="s">
        <v>46</v>
      </c>
      <c r="F11" s="7">
        <v>24790000</v>
      </c>
      <c r="G11" s="7">
        <v>-900000</v>
      </c>
      <c r="H11" s="7">
        <v>-250000</v>
      </c>
      <c r="I11" s="7">
        <v>-350000</v>
      </c>
      <c r="J11" s="7">
        <v>-600000</v>
      </c>
      <c r="K11" s="7">
        <v>-950000</v>
      </c>
      <c r="L11" s="7">
        <v>-350000</v>
      </c>
      <c r="M11" s="7">
        <v>-1300000</v>
      </c>
      <c r="N11" s="7">
        <v>23290000</v>
      </c>
      <c r="O11" s="7">
        <v>21990000</v>
      </c>
      <c r="P11" s="7" t="s">
        <v>184</v>
      </c>
      <c r="Q11" s="32" t="s">
        <v>185</v>
      </c>
      <c r="R11" s="32" t="s">
        <v>168</v>
      </c>
      <c r="S11" s="32" t="s">
        <v>186</v>
      </c>
      <c r="T11" s="32" t="s">
        <v>187</v>
      </c>
      <c r="U11" s="32" t="s">
        <v>169</v>
      </c>
      <c r="V11" s="32" t="s">
        <v>188</v>
      </c>
      <c r="W11" s="32" t="s">
        <v>169</v>
      </c>
      <c r="X11" s="32" t="s">
        <v>189</v>
      </c>
      <c r="Y11" s="32" t="s">
        <v>169</v>
      </c>
      <c r="Z11" s="32" t="s">
        <v>169</v>
      </c>
      <c r="AA11" s="32" t="s">
        <v>169</v>
      </c>
      <c r="AB11" s="32" t="s">
        <v>168</v>
      </c>
      <c r="AC11" s="32" t="s">
        <v>168</v>
      </c>
      <c r="AD11" s="32" t="s">
        <v>168</v>
      </c>
      <c r="AE11" s="32" t="s">
        <v>190</v>
      </c>
      <c r="AF11" s="32" t="s">
        <v>168</v>
      </c>
      <c r="AG11" s="32" t="s">
        <v>168</v>
      </c>
      <c r="AH11" s="32" t="s">
        <v>168</v>
      </c>
      <c r="AI11" s="32" t="s">
        <v>169</v>
      </c>
      <c r="AJ11" s="32" t="s">
        <v>168</v>
      </c>
      <c r="AK11" s="32" t="s">
        <v>168</v>
      </c>
      <c r="AL11" s="32" t="s">
        <v>169</v>
      </c>
      <c r="AM11" s="32" t="s">
        <v>175</v>
      </c>
      <c r="AN11" s="32" t="s">
        <v>191</v>
      </c>
      <c r="AO11" s="29">
        <v>175764</v>
      </c>
      <c r="AP11" s="32" t="s">
        <v>192</v>
      </c>
      <c r="AQ11" s="32" t="s">
        <v>193</v>
      </c>
      <c r="AR11" s="32" t="s">
        <v>194</v>
      </c>
    </row>
    <row r="12" spans="1:44" x14ac:dyDescent="0.2">
      <c r="A12" s="1">
        <f t="shared" si="0"/>
        <v>4</v>
      </c>
      <c r="B12" s="1" t="s">
        <v>44</v>
      </c>
      <c r="C12" s="1" t="s">
        <v>45</v>
      </c>
      <c r="D12" s="1" t="s">
        <v>47</v>
      </c>
      <c r="E12" s="1" t="s">
        <v>47</v>
      </c>
      <c r="F12" s="7">
        <v>25990000</v>
      </c>
      <c r="G12" s="7">
        <v>-200000</v>
      </c>
      <c r="H12" s="7">
        <v>-150000</v>
      </c>
      <c r="I12" s="7">
        <v>-350000</v>
      </c>
      <c r="J12" s="7">
        <v>-500000</v>
      </c>
      <c r="K12" s="7">
        <v>-1450000</v>
      </c>
      <c r="L12" s="7">
        <v>-350000</v>
      </c>
      <c r="M12" s="7">
        <v>-1800000</v>
      </c>
      <c r="N12" s="7">
        <v>25290000</v>
      </c>
      <c r="O12" s="7">
        <v>23490000</v>
      </c>
      <c r="P12" s="7" t="s">
        <v>195</v>
      </c>
      <c r="Q12" s="6" t="s">
        <v>185</v>
      </c>
      <c r="R12" s="6" t="s">
        <v>169</v>
      </c>
      <c r="S12" s="6" t="s">
        <v>186</v>
      </c>
      <c r="T12" s="6" t="s">
        <v>187</v>
      </c>
      <c r="U12" s="6" t="s">
        <v>169</v>
      </c>
      <c r="V12" s="6" t="s">
        <v>188</v>
      </c>
      <c r="W12" s="6" t="s">
        <v>169</v>
      </c>
      <c r="X12" s="6" t="s">
        <v>189</v>
      </c>
      <c r="Y12" s="6" t="s">
        <v>169</v>
      </c>
      <c r="Z12" s="6" t="s">
        <v>169</v>
      </c>
      <c r="AA12" s="6" t="s">
        <v>169</v>
      </c>
      <c r="AB12" s="6" t="s">
        <v>169</v>
      </c>
      <c r="AC12" s="6" t="s">
        <v>168</v>
      </c>
      <c r="AD12" s="6" t="s">
        <v>168</v>
      </c>
      <c r="AE12" s="6" t="s">
        <v>190</v>
      </c>
      <c r="AF12" s="6" t="s">
        <v>169</v>
      </c>
      <c r="AG12" s="6" t="s">
        <v>168</v>
      </c>
      <c r="AH12" s="6" t="s">
        <v>168</v>
      </c>
      <c r="AI12" s="6" t="s">
        <v>169</v>
      </c>
      <c r="AJ12" s="6" t="s">
        <v>168</v>
      </c>
      <c r="AK12" s="6" t="s">
        <v>168</v>
      </c>
      <c r="AL12" s="6" t="s">
        <v>169</v>
      </c>
      <c r="AM12" s="6" t="s">
        <v>175</v>
      </c>
      <c r="AN12" s="6" t="s">
        <v>191</v>
      </c>
      <c r="AO12" s="29">
        <v>189882</v>
      </c>
      <c r="AP12" s="6" t="s">
        <v>196</v>
      </c>
      <c r="AQ12" s="1" t="s">
        <v>197</v>
      </c>
      <c r="AR12" s="33" t="s">
        <v>194</v>
      </c>
    </row>
    <row r="13" spans="1:44" x14ac:dyDescent="0.2">
      <c r="A13" s="1">
        <f t="shared" si="0"/>
        <v>5</v>
      </c>
      <c r="B13" s="1" t="s">
        <v>44</v>
      </c>
      <c r="C13" s="1" t="s">
        <v>45</v>
      </c>
      <c r="D13" s="1" t="s">
        <v>48</v>
      </c>
      <c r="E13" s="1" t="s">
        <v>48</v>
      </c>
      <c r="F13" s="7">
        <v>25790000</v>
      </c>
      <c r="G13" s="7">
        <v>-200000</v>
      </c>
      <c r="H13" s="7">
        <v>-150000</v>
      </c>
      <c r="I13" s="7">
        <v>-350000</v>
      </c>
      <c r="J13" s="7">
        <v>-500000</v>
      </c>
      <c r="K13" s="7">
        <v>-1450000</v>
      </c>
      <c r="L13" s="7">
        <v>-350000</v>
      </c>
      <c r="M13" s="7">
        <v>-1800000</v>
      </c>
      <c r="N13" s="7">
        <v>25090000</v>
      </c>
      <c r="O13" s="7">
        <v>23290000</v>
      </c>
      <c r="P13" s="7" t="s">
        <v>195</v>
      </c>
      <c r="Q13" s="6" t="s">
        <v>185</v>
      </c>
      <c r="R13" s="6" t="s">
        <v>169</v>
      </c>
      <c r="S13" s="6" t="s">
        <v>186</v>
      </c>
      <c r="T13" s="6" t="s">
        <v>187</v>
      </c>
      <c r="U13" s="6" t="s">
        <v>169</v>
      </c>
      <c r="V13" s="6" t="s">
        <v>188</v>
      </c>
      <c r="W13" s="6" t="s">
        <v>169</v>
      </c>
      <c r="X13" s="6" t="s">
        <v>189</v>
      </c>
      <c r="Y13" s="6" t="s">
        <v>169</v>
      </c>
      <c r="Z13" s="6" t="s">
        <v>169</v>
      </c>
      <c r="AA13" s="6" t="s">
        <v>169</v>
      </c>
      <c r="AB13" s="6" t="s">
        <v>169</v>
      </c>
      <c r="AC13" s="6" t="s">
        <v>168</v>
      </c>
      <c r="AD13" s="6" t="s">
        <v>168</v>
      </c>
      <c r="AE13" s="6" t="s">
        <v>190</v>
      </c>
      <c r="AF13" s="6" t="s">
        <v>169</v>
      </c>
      <c r="AG13" s="6" t="s">
        <v>168</v>
      </c>
      <c r="AH13" s="6" t="s">
        <v>168</v>
      </c>
      <c r="AI13" s="6" t="s">
        <v>169</v>
      </c>
      <c r="AJ13" s="6" t="s">
        <v>168</v>
      </c>
      <c r="AK13" s="6" t="s">
        <v>168</v>
      </c>
      <c r="AL13" s="6" t="s">
        <v>169</v>
      </c>
      <c r="AM13" s="6" t="s">
        <v>175</v>
      </c>
      <c r="AN13" s="6" t="s">
        <v>191</v>
      </c>
      <c r="AO13" s="29">
        <v>187764</v>
      </c>
      <c r="AP13" s="6" t="s">
        <v>196</v>
      </c>
      <c r="AQ13" s="1" t="s">
        <v>198</v>
      </c>
      <c r="AR13" s="33" t="s">
        <v>194</v>
      </c>
    </row>
    <row r="14" spans="1:44" x14ac:dyDescent="0.2">
      <c r="A14" s="1">
        <f t="shared" si="0"/>
        <v>6</v>
      </c>
      <c r="B14" s="1" t="s">
        <v>44</v>
      </c>
      <c r="C14" s="1" t="s">
        <v>45</v>
      </c>
      <c r="D14" s="1" t="s">
        <v>49</v>
      </c>
      <c r="E14" s="1" t="s">
        <v>50</v>
      </c>
      <c r="F14" s="7">
        <v>25790000</v>
      </c>
      <c r="G14" s="7">
        <v>-400000</v>
      </c>
      <c r="H14" s="7">
        <v>-150000</v>
      </c>
      <c r="I14" s="7">
        <v>-350000</v>
      </c>
      <c r="J14" s="7">
        <v>-500000</v>
      </c>
      <c r="K14" s="7">
        <v>-1450000</v>
      </c>
      <c r="L14" s="7">
        <v>-350000</v>
      </c>
      <c r="M14" s="7">
        <v>-1800000</v>
      </c>
      <c r="N14" s="7">
        <v>24890000</v>
      </c>
      <c r="O14" s="7">
        <v>23090000</v>
      </c>
      <c r="P14" s="7" t="s">
        <v>195</v>
      </c>
      <c r="Q14" s="6" t="s">
        <v>185</v>
      </c>
      <c r="R14" s="6" t="s">
        <v>169</v>
      </c>
      <c r="S14" s="6" t="s">
        <v>186</v>
      </c>
      <c r="T14" s="6" t="s">
        <v>187</v>
      </c>
      <c r="U14" s="6" t="s">
        <v>169</v>
      </c>
      <c r="V14" s="6" t="s">
        <v>188</v>
      </c>
      <c r="W14" s="6" t="s">
        <v>169</v>
      </c>
      <c r="X14" s="6" t="s">
        <v>189</v>
      </c>
      <c r="Y14" s="6" t="s">
        <v>169</v>
      </c>
      <c r="Z14" s="6" t="s">
        <v>169</v>
      </c>
      <c r="AA14" s="6" t="s">
        <v>169</v>
      </c>
      <c r="AB14" s="6" t="s">
        <v>169</v>
      </c>
      <c r="AC14" s="6" t="s">
        <v>168</v>
      </c>
      <c r="AD14" s="6" t="s">
        <v>168</v>
      </c>
      <c r="AE14" s="6" t="s">
        <v>190</v>
      </c>
      <c r="AF14" s="6" t="s">
        <v>169</v>
      </c>
      <c r="AG14" s="6" t="s">
        <v>168</v>
      </c>
      <c r="AH14" s="6" t="s">
        <v>168</v>
      </c>
      <c r="AI14" s="6" t="s">
        <v>169</v>
      </c>
      <c r="AJ14" s="6" t="s">
        <v>168</v>
      </c>
      <c r="AK14" s="6" t="s">
        <v>168</v>
      </c>
      <c r="AL14" s="6" t="s">
        <v>169</v>
      </c>
      <c r="AM14" s="6" t="s">
        <v>175</v>
      </c>
      <c r="AN14" s="6" t="s">
        <v>191</v>
      </c>
      <c r="AO14" s="29">
        <v>170823</v>
      </c>
      <c r="AP14" s="6" t="s">
        <v>196</v>
      </c>
      <c r="AQ14" s="1" t="s">
        <v>199</v>
      </c>
      <c r="AR14" s="33" t="s">
        <v>200</v>
      </c>
    </row>
    <row r="15" spans="1:44" x14ac:dyDescent="0.2">
      <c r="A15" s="1">
        <f t="shared" si="0"/>
        <v>7</v>
      </c>
      <c r="B15" s="1" t="s">
        <v>44</v>
      </c>
      <c r="C15" s="1" t="s">
        <v>45</v>
      </c>
      <c r="D15" s="1" t="s">
        <v>51</v>
      </c>
      <c r="E15" s="1" t="s">
        <v>51</v>
      </c>
      <c r="F15" s="7">
        <v>28490000</v>
      </c>
      <c r="G15" s="7">
        <v>-500000</v>
      </c>
      <c r="H15" s="7">
        <v>-250000</v>
      </c>
      <c r="I15" s="7">
        <v>-475000</v>
      </c>
      <c r="J15" s="7">
        <v>-725000</v>
      </c>
      <c r="K15" s="7">
        <v>-450000</v>
      </c>
      <c r="L15" s="7">
        <v>-475000</v>
      </c>
      <c r="M15" s="7">
        <v>-925000</v>
      </c>
      <c r="N15" s="7">
        <v>27265000</v>
      </c>
      <c r="O15" s="7">
        <v>26340000</v>
      </c>
      <c r="P15" s="7" t="s">
        <v>184</v>
      </c>
      <c r="Q15" s="6" t="s">
        <v>185</v>
      </c>
      <c r="R15" s="6" t="s">
        <v>169</v>
      </c>
      <c r="S15" s="6" t="s">
        <v>186</v>
      </c>
      <c r="T15" s="6" t="s">
        <v>187</v>
      </c>
      <c r="U15" s="6" t="s">
        <v>169</v>
      </c>
      <c r="V15" s="6" t="s">
        <v>171</v>
      </c>
      <c r="W15" s="6" t="s">
        <v>169</v>
      </c>
      <c r="X15" s="6" t="s">
        <v>201</v>
      </c>
      <c r="Y15" s="6" t="s">
        <v>169</v>
      </c>
      <c r="Z15" s="6" t="s">
        <v>169</v>
      </c>
      <c r="AA15" s="6" t="s">
        <v>169</v>
      </c>
      <c r="AB15" s="6" t="s">
        <v>169</v>
      </c>
      <c r="AC15" s="6" t="s">
        <v>169</v>
      </c>
      <c r="AD15" s="6" t="s">
        <v>168</v>
      </c>
      <c r="AE15" s="6" t="s">
        <v>174</v>
      </c>
      <c r="AF15" s="6" t="s">
        <v>202</v>
      </c>
      <c r="AG15" s="6" t="s">
        <v>169</v>
      </c>
      <c r="AH15" s="6" t="s">
        <v>168</v>
      </c>
      <c r="AI15" s="6" t="s">
        <v>169</v>
      </c>
      <c r="AJ15" s="6" t="s">
        <v>169</v>
      </c>
      <c r="AK15" s="6" t="s">
        <v>168</v>
      </c>
      <c r="AL15" s="6" t="s">
        <v>169</v>
      </c>
      <c r="AM15" s="6" t="s">
        <v>175</v>
      </c>
      <c r="AN15" s="6" t="s">
        <v>191</v>
      </c>
      <c r="AO15" s="29">
        <v>205411</v>
      </c>
      <c r="AP15" s="6" t="s">
        <v>203</v>
      </c>
      <c r="AQ15" s="1" t="s">
        <v>204</v>
      </c>
      <c r="AR15" s="33" t="s">
        <v>194</v>
      </c>
    </row>
    <row r="16" spans="1:44" x14ac:dyDescent="0.2">
      <c r="A16" s="1">
        <f t="shared" si="0"/>
        <v>8</v>
      </c>
      <c r="B16" s="1" t="s">
        <v>44</v>
      </c>
      <c r="C16" s="6" t="s">
        <v>152</v>
      </c>
      <c r="D16" s="1" t="s">
        <v>153</v>
      </c>
      <c r="E16" s="1" t="s">
        <v>150</v>
      </c>
      <c r="F16" s="7">
        <v>21990000</v>
      </c>
      <c r="G16" s="7">
        <v>0</v>
      </c>
      <c r="H16" s="7">
        <v>-300000</v>
      </c>
      <c r="I16" s="7">
        <v>-300000</v>
      </c>
      <c r="J16" s="7">
        <v>-600000</v>
      </c>
      <c r="K16" s="7">
        <v>-400000</v>
      </c>
      <c r="L16" s="7">
        <v>-400000</v>
      </c>
      <c r="M16" s="7">
        <v>-800000</v>
      </c>
      <c r="N16" s="7">
        <v>21390000</v>
      </c>
      <c r="O16" s="7">
        <v>20590000</v>
      </c>
      <c r="P16" s="7" t="s">
        <v>205</v>
      </c>
      <c r="Q16" s="6" t="s">
        <v>185</v>
      </c>
      <c r="R16" s="6" t="s">
        <v>168</v>
      </c>
      <c r="S16" s="6" t="s">
        <v>206</v>
      </c>
      <c r="T16" s="6" t="s">
        <v>207</v>
      </c>
      <c r="U16" s="6" t="s">
        <v>169</v>
      </c>
      <c r="V16" s="6" t="s">
        <v>169</v>
      </c>
      <c r="W16" s="6" t="s">
        <v>169</v>
      </c>
      <c r="X16" s="6" t="s">
        <v>189</v>
      </c>
      <c r="Y16" s="6" t="s">
        <v>169</v>
      </c>
      <c r="Z16" s="6" t="s">
        <v>169</v>
      </c>
      <c r="AA16" s="6" t="s">
        <v>169</v>
      </c>
      <c r="AB16" s="6" t="s">
        <v>169</v>
      </c>
      <c r="AC16" s="6" t="s">
        <v>173</v>
      </c>
      <c r="AD16" s="6" t="s">
        <v>168</v>
      </c>
      <c r="AE16" s="6" t="s">
        <v>190</v>
      </c>
      <c r="AF16" s="6" t="s">
        <v>202</v>
      </c>
      <c r="AG16" s="6" t="s">
        <v>168</v>
      </c>
      <c r="AH16" s="6" t="s">
        <v>168</v>
      </c>
      <c r="AI16" s="6" t="s">
        <v>169</v>
      </c>
      <c r="AJ16" s="6" t="s">
        <v>169</v>
      </c>
      <c r="AK16" s="6" t="s">
        <v>168</v>
      </c>
      <c r="AL16" s="6" t="s">
        <v>169</v>
      </c>
      <c r="AM16" s="6" t="s">
        <v>175</v>
      </c>
      <c r="AN16" s="6" t="s">
        <v>208</v>
      </c>
      <c r="AO16" s="29">
        <v>131294</v>
      </c>
      <c r="AP16" s="6" t="s">
        <v>150</v>
      </c>
      <c r="AQ16" s="1" t="s">
        <v>209</v>
      </c>
      <c r="AR16" s="33" t="s">
        <v>210</v>
      </c>
    </row>
    <row r="17" spans="1:44" x14ac:dyDescent="0.2">
      <c r="A17" s="1">
        <f t="shared" si="0"/>
        <v>9</v>
      </c>
      <c r="B17" s="6" t="s">
        <v>52</v>
      </c>
      <c r="C17" s="6" t="s">
        <v>53</v>
      </c>
      <c r="D17" s="1" t="s">
        <v>54</v>
      </c>
      <c r="E17" s="1" t="s">
        <v>55</v>
      </c>
      <c r="F17" s="7">
        <v>24590000</v>
      </c>
      <c r="G17" s="7">
        <v>-1500000</v>
      </c>
      <c r="H17" s="7">
        <v>-400000</v>
      </c>
      <c r="I17" s="7">
        <v>-400000</v>
      </c>
      <c r="J17" s="7">
        <v>-800000</v>
      </c>
      <c r="K17" s="7">
        <v>-500000</v>
      </c>
      <c r="L17" s="7">
        <v>-300000</v>
      </c>
      <c r="M17" s="7">
        <v>-800000</v>
      </c>
      <c r="N17" s="7">
        <v>22290000</v>
      </c>
      <c r="O17" s="7">
        <v>21490000</v>
      </c>
      <c r="P17" s="7" t="s">
        <v>211</v>
      </c>
      <c r="Q17" s="6" t="s">
        <v>185</v>
      </c>
      <c r="R17" s="6" t="s">
        <v>169</v>
      </c>
      <c r="S17" s="6" t="s">
        <v>206</v>
      </c>
      <c r="T17" s="6" t="s">
        <v>207</v>
      </c>
      <c r="U17" s="6" t="s">
        <v>169</v>
      </c>
      <c r="V17" s="6" t="s">
        <v>188</v>
      </c>
      <c r="W17" s="6" t="s">
        <v>169</v>
      </c>
      <c r="X17" s="6" t="s">
        <v>201</v>
      </c>
      <c r="Y17" s="6" t="s">
        <v>169</v>
      </c>
      <c r="Z17" s="6" t="s">
        <v>169</v>
      </c>
      <c r="AA17" s="6" t="s">
        <v>169</v>
      </c>
      <c r="AB17" s="6" t="s">
        <v>168</v>
      </c>
      <c r="AC17" s="6" t="s">
        <v>168</v>
      </c>
      <c r="AD17" s="6" t="s">
        <v>168</v>
      </c>
      <c r="AE17" s="6" t="s">
        <v>190</v>
      </c>
      <c r="AF17" s="6" t="s">
        <v>168</v>
      </c>
      <c r="AG17" s="6" t="s">
        <v>168</v>
      </c>
      <c r="AH17" s="6" t="s">
        <v>168</v>
      </c>
      <c r="AI17" s="6" t="s">
        <v>169</v>
      </c>
      <c r="AJ17" s="6" t="s">
        <v>168</v>
      </c>
      <c r="AK17" s="6" t="s">
        <v>168</v>
      </c>
      <c r="AL17" s="6" t="s">
        <v>169</v>
      </c>
      <c r="AM17" s="6" t="s">
        <v>175</v>
      </c>
      <c r="AN17" s="6" t="s">
        <v>212</v>
      </c>
      <c r="AO17" s="29">
        <v>141176</v>
      </c>
      <c r="AP17" s="6" t="s">
        <v>55</v>
      </c>
      <c r="AQ17" s="1" t="s">
        <v>213</v>
      </c>
      <c r="AR17" s="33" t="s">
        <v>214</v>
      </c>
    </row>
    <row r="18" spans="1:44" x14ac:dyDescent="0.2">
      <c r="A18" s="1">
        <f t="shared" si="0"/>
        <v>10</v>
      </c>
      <c r="B18" s="6" t="s">
        <v>52</v>
      </c>
      <c r="C18" s="6" t="s">
        <v>53</v>
      </c>
      <c r="D18" s="1" t="s">
        <v>56</v>
      </c>
      <c r="E18" s="1" t="s">
        <v>56</v>
      </c>
      <c r="F18" s="7">
        <v>25490000</v>
      </c>
      <c r="G18" s="7">
        <v>0</v>
      </c>
      <c r="H18" s="7">
        <v>-300000</v>
      </c>
      <c r="I18" s="7">
        <v>-300000</v>
      </c>
      <c r="J18" s="7">
        <v>-600000</v>
      </c>
      <c r="K18" s="7">
        <v>-300000</v>
      </c>
      <c r="L18" s="7">
        <v>-300000</v>
      </c>
      <c r="M18" s="7">
        <v>-600000</v>
      </c>
      <c r="N18" s="7">
        <v>24890000</v>
      </c>
      <c r="O18" s="7">
        <v>24290000</v>
      </c>
      <c r="P18" s="7" t="s">
        <v>211</v>
      </c>
      <c r="Q18" s="6" t="s">
        <v>185</v>
      </c>
      <c r="R18" s="6" t="s">
        <v>169</v>
      </c>
      <c r="S18" s="6" t="s">
        <v>206</v>
      </c>
      <c r="T18" s="6" t="s">
        <v>207</v>
      </c>
      <c r="U18" s="6" t="s">
        <v>169</v>
      </c>
      <c r="V18" s="6" t="s">
        <v>188</v>
      </c>
      <c r="W18" s="6" t="s">
        <v>169</v>
      </c>
      <c r="X18" s="6" t="s">
        <v>201</v>
      </c>
      <c r="Y18" s="6" t="s">
        <v>169</v>
      </c>
      <c r="Z18" s="6" t="s">
        <v>169</v>
      </c>
      <c r="AA18" s="6" t="s">
        <v>169</v>
      </c>
      <c r="AB18" s="6" t="s">
        <v>168</v>
      </c>
      <c r="AC18" s="6" t="s">
        <v>168</v>
      </c>
      <c r="AD18" s="6" t="s">
        <v>168</v>
      </c>
      <c r="AE18" s="6" t="s">
        <v>174</v>
      </c>
      <c r="AF18" s="6" t="s">
        <v>202</v>
      </c>
      <c r="AG18" s="6" t="s">
        <v>169</v>
      </c>
      <c r="AH18" s="6" t="s">
        <v>168</v>
      </c>
      <c r="AI18" s="6" t="s">
        <v>169</v>
      </c>
      <c r="AJ18" s="6" t="s">
        <v>169</v>
      </c>
      <c r="AK18" s="6" t="s">
        <v>168</v>
      </c>
      <c r="AL18" s="6" t="s">
        <v>169</v>
      </c>
      <c r="AM18" s="6" t="s">
        <v>175</v>
      </c>
      <c r="AN18" s="6" t="s">
        <v>215</v>
      </c>
      <c r="AO18" s="29">
        <v>155999</v>
      </c>
      <c r="AP18" s="6" t="s">
        <v>56</v>
      </c>
      <c r="AQ18" s="1" t="s">
        <v>216</v>
      </c>
      <c r="AR18" s="33" t="s">
        <v>214</v>
      </c>
    </row>
    <row r="19" spans="1:44" x14ac:dyDescent="0.2">
      <c r="A19" s="1">
        <f t="shared" si="0"/>
        <v>11</v>
      </c>
      <c r="B19" s="1" t="s">
        <v>52</v>
      </c>
      <c r="C19" s="1" t="s">
        <v>57</v>
      </c>
      <c r="D19" s="1" t="s">
        <v>58</v>
      </c>
      <c r="E19" s="1" t="s">
        <v>58</v>
      </c>
      <c r="F19" s="7">
        <v>27990000</v>
      </c>
      <c r="G19" s="7">
        <v>0</v>
      </c>
      <c r="H19" s="7">
        <v>-500000</v>
      </c>
      <c r="I19" s="7">
        <v>0</v>
      </c>
      <c r="J19" s="7">
        <v>-500000</v>
      </c>
      <c r="K19" s="7">
        <v>-500000</v>
      </c>
      <c r="L19" s="7">
        <v>-500000</v>
      </c>
      <c r="M19" s="7">
        <v>-1000000</v>
      </c>
      <c r="N19" s="7">
        <v>27490000</v>
      </c>
      <c r="O19" s="7">
        <v>26490000</v>
      </c>
      <c r="P19" s="7" t="s">
        <v>184</v>
      </c>
      <c r="Q19" s="6" t="s">
        <v>185</v>
      </c>
      <c r="R19" s="6" t="s">
        <v>169</v>
      </c>
      <c r="S19" s="6" t="s">
        <v>186</v>
      </c>
      <c r="T19" s="6" t="s">
        <v>187</v>
      </c>
      <c r="U19" s="6" t="s">
        <v>169</v>
      </c>
      <c r="V19" s="6" t="s">
        <v>188</v>
      </c>
      <c r="W19" s="6" t="s">
        <v>169</v>
      </c>
      <c r="X19" s="6" t="s">
        <v>201</v>
      </c>
      <c r="Y19" s="6" t="s">
        <v>169</v>
      </c>
      <c r="Z19" s="6" t="s">
        <v>169</v>
      </c>
      <c r="AA19" s="6" t="s">
        <v>169</v>
      </c>
      <c r="AB19" s="6" t="s">
        <v>169</v>
      </c>
      <c r="AC19" s="6" t="s">
        <v>168</v>
      </c>
      <c r="AD19" s="6" t="s">
        <v>168</v>
      </c>
      <c r="AE19" s="6" t="s">
        <v>217</v>
      </c>
      <c r="AF19" s="6" t="s">
        <v>169</v>
      </c>
      <c r="AG19" s="6" t="s">
        <v>168</v>
      </c>
      <c r="AH19" s="6" t="s">
        <v>168</v>
      </c>
      <c r="AI19" s="6" t="s">
        <v>169</v>
      </c>
      <c r="AJ19" s="6" t="s">
        <v>168</v>
      </c>
      <c r="AK19" s="6" t="s">
        <v>168</v>
      </c>
      <c r="AL19" s="6" t="s">
        <v>169</v>
      </c>
      <c r="AM19" s="6" t="s">
        <v>175</v>
      </c>
      <c r="AN19" s="6" t="s">
        <v>218</v>
      </c>
      <c r="AO19" s="29">
        <v>184941</v>
      </c>
      <c r="AP19" s="6" t="s">
        <v>219</v>
      </c>
      <c r="AQ19" s="1" t="s">
        <v>220</v>
      </c>
      <c r="AR19" s="33" t="s">
        <v>221</v>
      </c>
    </row>
    <row r="20" spans="1:44" x14ac:dyDescent="0.2">
      <c r="A20" s="1">
        <f t="shared" si="0"/>
        <v>12</v>
      </c>
      <c r="B20" s="1" t="s">
        <v>52</v>
      </c>
      <c r="C20" s="1" t="s">
        <v>57</v>
      </c>
      <c r="D20" s="1" t="s">
        <v>59</v>
      </c>
      <c r="E20" s="1" t="s">
        <v>59</v>
      </c>
      <c r="F20" s="7">
        <v>29990000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-500000</v>
      </c>
      <c r="M20" s="7">
        <v>-500000</v>
      </c>
      <c r="N20" s="7">
        <v>29990000</v>
      </c>
      <c r="O20" s="7">
        <v>29490000</v>
      </c>
      <c r="P20" s="7" t="s">
        <v>184</v>
      </c>
      <c r="Q20" s="6" t="s">
        <v>185</v>
      </c>
      <c r="R20" s="6" t="s">
        <v>169</v>
      </c>
      <c r="S20" s="6" t="s">
        <v>186</v>
      </c>
      <c r="T20" s="6" t="s">
        <v>187</v>
      </c>
      <c r="U20" s="6" t="s">
        <v>169</v>
      </c>
      <c r="V20" s="6" t="s">
        <v>171</v>
      </c>
      <c r="W20" s="6" t="s">
        <v>169</v>
      </c>
      <c r="X20" s="6" t="s">
        <v>222</v>
      </c>
      <c r="Y20" s="6" t="s">
        <v>169</v>
      </c>
      <c r="Z20" s="6" t="s">
        <v>169</v>
      </c>
      <c r="AA20" s="6" t="s">
        <v>169</v>
      </c>
      <c r="AB20" s="6" t="s">
        <v>169</v>
      </c>
      <c r="AC20" s="6" t="s">
        <v>169</v>
      </c>
      <c r="AD20" s="6" t="s">
        <v>168</v>
      </c>
      <c r="AE20" s="6" t="s">
        <v>174</v>
      </c>
      <c r="AF20" s="6" t="s">
        <v>202</v>
      </c>
      <c r="AG20" s="6" t="s">
        <v>169</v>
      </c>
      <c r="AH20" s="6" t="s">
        <v>168</v>
      </c>
      <c r="AI20" s="6" t="s">
        <v>169</v>
      </c>
      <c r="AJ20" s="6" t="s">
        <v>169</v>
      </c>
      <c r="AK20" s="6" t="s">
        <v>168</v>
      </c>
      <c r="AL20" s="6" t="s">
        <v>169</v>
      </c>
      <c r="AM20" s="6" t="s">
        <v>175</v>
      </c>
      <c r="AN20" s="6" t="s">
        <v>218</v>
      </c>
      <c r="AO20" s="29">
        <v>197646</v>
      </c>
      <c r="AP20" s="6" t="s">
        <v>223</v>
      </c>
      <c r="AQ20" s="1" t="s">
        <v>224</v>
      </c>
      <c r="AR20" s="33" t="s">
        <v>221</v>
      </c>
    </row>
    <row r="21" spans="1:44" x14ac:dyDescent="0.2">
      <c r="A21" s="1">
        <f t="shared" si="0"/>
        <v>13</v>
      </c>
      <c r="B21" s="1" t="s">
        <v>52</v>
      </c>
      <c r="C21" s="1" t="s">
        <v>60</v>
      </c>
      <c r="D21" s="1" t="s">
        <v>61</v>
      </c>
      <c r="E21" s="1" t="s">
        <v>62</v>
      </c>
      <c r="F21" s="7">
        <v>34690000</v>
      </c>
      <c r="G21" s="7">
        <v>-1700000</v>
      </c>
      <c r="H21" s="7">
        <v>-250000</v>
      </c>
      <c r="I21" s="7">
        <v>0</v>
      </c>
      <c r="J21" s="7">
        <v>-250000</v>
      </c>
      <c r="K21" s="7">
        <v>-1650000</v>
      </c>
      <c r="L21" s="7">
        <v>-300000</v>
      </c>
      <c r="M21" s="7">
        <v>-1950000</v>
      </c>
      <c r="N21" s="7">
        <v>32740000</v>
      </c>
      <c r="O21" s="7">
        <v>30790000</v>
      </c>
      <c r="P21" s="7" t="s">
        <v>225</v>
      </c>
      <c r="Q21" s="7" t="s">
        <v>185</v>
      </c>
      <c r="R21" s="7" t="s">
        <v>169</v>
      </c>
      <c r="S21" s="7" t="s">
        <v>226</v>
      </c>
      <c r="T21" s="7" t="s">
        <v>187</v>
      </c>
      <c r="U21" s="7" t="s">
        <v>169</v>
      </c>
      <c r="V21" s="7" t="s">
        <v>171</v>
      </c>
      <c r="W21" s="7" t="s">
        <v>169</v>
      </c>
      <c r="X21" s="7" t="s">
        <v>222</v>
      </c>
      <c r="Y21" s="7" t="s">
        <v>169</v>
      </c>
      <c r="Z21" s="7" t="s">
        <v>169</v>
      </c>
      <c r="AA21" s="7" t="s">
        <v>169</v>
      </c>
      <c r="AB21" s="7" t="s">
        <v>169</v>
      </c>
      <c r="AC21" s="7" t="s">
        <v>168</v>
      </c>
      <c r="AD21" s="7" t="s">
        <v>169</v>
      </c>
      <c r="AE21" s="7" t="s">
        <v>174</v>
      </c>
      <c r="AF21" s="7" t="s">
        <v>202</v>
      </c>
      <c r="AG21" s="7" t="s">
        <v>168</v>
      </c>
      <c r="AH21" s="7" t="s">
        <v>168</v>
      </c>
      <c r="AI21" s="7" t="s">
        <v>227</v>
      </c>
      <c r="AJ21" s="7" t="s">
        <v>169</v>
      </c>
      <c r="AK21" s="7" t="s">
        <v>168</v>
      </c>
      <c r="AL21" s="7" t="s">
        <v>169</v>
      </c>
      <c r="AM21" s="7" t="s">
        <v>175</v>
      </c>
      <c r="AN21" s="7" t="s">
        <v>228</v>
      </c>
      <c r="AO21" s="7">
        <v>255529</v>
      </c>
      <c r="AP21" s="7" t="s">
        <v>229</v>
      </c>
      <c r="AQ21" s="7" t="s">
        <v>230</v>
      </c>
      <c r="AR21" s="7" t="s">
        <v>231</v>
      </c>
    </row>
    <row r="22" spans="1:44" x14ac:dyDescent="0.2">
      <c r="A22" s="1">
        <f t="shared" si="0"/>
        <v>14</v>
      </c>
      <c r="B22" s="1" t="s">
        <v>52</v>
      </c>
      <c r="C22" s="1" t="s">
        <v>60</v>
      </c>
      <c r="D22" s="1" t="s">
        <v>63</v>
      </c>
      <c r="E22" s="1" t="s">
        <v>64</v>
      </c>
      <c r="F22" s="7">
        <v>41890000</v>
      </c>
      <c r="G22" s="7">
        <v>-1000000</v>
      </c>
      <c r="H22" s="7">
        <v>0</v>
      </c>
      <c r="I22" s="7">
        <v>0</v>
      </c>
      <c r="J22" s="7">
        <v>0</v>
      </c>
      <c r="K22" s="7">
        <v>-1000000</v>
      </c>
      <c r="L22" s="7">
        <v>-900000</v>
      </c>
      <c r="M22" s="7">
        <v>-1900000</v>
      </c>
      <c r="N22" s="7">
        <v>40890000</v>
      </c>
      <c r="O22" s="7">
        <v>38990000</v>
      </c>
      <c r="P22" s="7" t="s">
        <v>225</v>
      </c>
      <c r="Q22" s="7" t="s">
        <v>185</v>
      </c>
      <c r="R22" s="7" t="s">
        <v>169</v>
      </c>
      <c r="S22" s="7" t="s">
        <v>226</v>
      </c>
      <c r="T22" s="7" t="s">
        <v>187</v>
      </c>
      <c r="U22" s="7" t="s">
        <v>169</v>
      </c>
      <c r="V22" s="7" t="s">
        <v>171</v>
      </c>
      <c r="W22" s="7" t="s">
        <v>169</v>
      </c>
      <c r="X22" s="7" t="s">
        <v>222</v>
      </c>
      <c r="Y22" s="7" t="s">
        <v>169</v>
      </c>
      <c r="Z22" s="7" t="s">
        <v>169</v>
      </c>
      <c r="AA22" s="7" t="s">
        <v>169</v>
      </c>
      <c r="AB22" s="7" t="s">
        <v>169</v>
      </c>
      <c r="AC22" s="7" t="s">
        <v>169</v>
      </c>
      <c r="AD22" s="7" t="s">
        <v>169</v>
      </c>
      <c r="AE22" s="7" t="s">
        <v>174</v>
      </c>
      <c r="AF22" s="7" t="s">
        <v>202</v>
      </c>
      <c r="AG22" s="7" t="s">
        <v>168</v>
      </c>
      <c r="AH22" s="7" t="s">
        <v>168</v>
      </c>
      <c r="AI22" s="7" t="s">
        <v>227</v>
      </c>
      <c r="AJ22" s="7" t="s">
        <v>232</v>
      </c>
      <c r="AK22" s="7" t="s">
        <v>168</v>
      </c>
      <c r="AL22" s="7" t="s">
        <v>169</v>
      </c>
      <c r="AM22" s="7" t="s">
        <v>175</v>
      </c>
      <c r="AN22" s="7" t="s">
        <v>233</v>
      </c>
      <c r="AO22" s="7">
        <v>314117</v>
      </c>
      <c r="AP22" s="7" t="s">
        <v>234</v>
      </c>
      <c r="AQ22" s="7" t="s">
        <v>235</v>
      </c>
      <c r="AR22" s="7" t="s">
        <v>236</v>
      </c>
    </row>
    <row r="23" spans="1:44" x14ac:dyDescent="0.2">
      <c r="A23" s="1">
        <f t="shared" si="0"/>
        <v>15</v>
      </c>
      <c r="B23" s="1" t="s">
        <v>52</v>
      </c>
      <c r="C23" s="1" t="s">
        <v>60</v>
      </c>
      <c r="D23" s="1" t="s">
        <v>154</v>
      </c>
      <c r="E23" s="1" t="s">
        <v>155</v>
      </c>
      <c r="F23" s="7">
        <v>33490000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-500000</v>
      </c>
      <c r="M23" s="7">
        <v>-500000</v>
      </c>
      <c r="N23" s="7">
        <v>33490000</v>
      </c>
      <c r="O23" s="7">
        <v>32990000</v>
      </c>
      <c r="P23" s="7" t="s">
        <v>225</v>
      </c>
      <c r="Q23" s="6" t="s">
        <v>185</v>
      </c>
      <c r="R23" s="6" t="s">
        <v>169</v>
      </c>
      <c r="S23" s="6" t="s">
        <v>206</v>
      </c>
      <c r="T23" s="6" t="s">
        <v>187</v>
      </c>
      <c r="U23" s="6" t="s">
        <v>169</v>
      </c>
      <c r="V23" s="6" t="s">
        <v>171</v>
      </c>
      <c r="W23" s="6" t="s">
        <v>169</v>
      </c>
      <c r="X23" s="6" t="s">
        <v>201</v>
      </c>
      <c r="Y23" s="6" t="s">
        <v>169</v>
      </c>
      <c r="Z23" s="6" t="s">
        <v>169</v>
      </c>
      <c r="AA23" s="6" t="s">
        <v>169</v>
      </c>
      <c r="AB23" s="6" t="s">
        <v>168</v>
      </c>
      <c r="AC23" s="6" t="s">
        <v>168</v>
      </c>
      <c r="AD23" s="6" t="s">
        <v>168</v>
      </c>
      <c r="AE23" s="6" t="s">
        <v>174</v>
      </c>
      <c r="AF23" s="6" t="s">
        <v>202</v>
      </c>
      <c r="AG23" s="6" t="s">
        <v>168</v>
      </c>
      <c r="AH23" s="6" t="s">
        <v>168</v>
      </c>
      <c r="AI23" s="6" t="s">
        <v>237</v>
      </c>
      <c r="AJ23" s="6" t="s">
        <v>168</v>
      </c>
      <c r="AK23" s="6" t="s">
        <v>168</v>
      </c>
      <c r="AL23" s="6" t="s">
        <v>169</v>
      </c>
      <c r="AM23" s="6" t="s">
        <v>175</v>
      </c>
      <c r="AN23" s="6" t="s">
        <v>228</v>
      </c>
      <c r="AO23" s="29">
        <v>263293</v>
      </c>
      <c r="AP23" s="6" t="s">
        <v>238</v>
      </c>
      <c r="AQ23" s="1" t="s">
        <v>239</v>
      </c>
      <c r="AR23" s="33" t="s">
        <v>240</v>
      </c>
    </row>
    <row r="24" spans="1:44" x14ac:dyDescent="0.2">
      <c r="A24" s="1">
        <f t="shared" si="0"/>
        <v>16</v>
      </c>
      <c r="B24" s="1" t="s">
        <v>52</v>
      </c>
      <c r="C24" s="1" t="s">
        <v>60</v>
      </c>
      <c r="D24" s="1" t="s">
        <v>156</v>
      </c>
      <c r="E24" s="1" t="s">
        <v>157</v>
      </c>
      <c r="F24" s="7">
        <v>36990000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36990000</v>
      </c>
      <c r="O24" s="7">
        <v>36990000</v>
      </c>
      <c r="P24" s="7" t="s">
        <v>225</v>
      </c>
      <c r="Q24" s="6" t="s">
        <v>185</v>
      </c>
      <c r="R24" s="6" t="s">
        <v>169</v>
      </c>
      <c r="S24" s="6" t="s">
        <v>206</v>
      </c>
      <c r="T24" s="6" t="s">
        <v>187</v>
      </c>
      <c r="U24" s="6" t="s">
        <v>169</v>
      </c>
      <c r="V24" s="6" t="s">
        <v>171</v>
      </c>
      <c r="W24" s="6" t="s">
        <v>169</v>
      </c>
      <c r="X24" s="6" t="s">
        <v>222</v>
      </c>
      <c r="Y24" s="6" t="s">
        <v>169</v>
      </c>
      <c r="Z24" s="6" t="s">
        <v>169</v>
      </c>
      <c r="AA24" s="6" t="s">
        <v>169</v>
      </c>
      <c r="AB24" s="6" t="s">
        <v>169</v>
      </c>
      <c r="AC24" s="6" t="s">
        <v>168</v>
      </c>
      <c r="AD24" s="6" t="s">
        <v>169</v>
      </c>
      <c r="AE24" s="6" t="s">
        <v>174</v>
      </c>
      <c r="AF24" s="6" t="s">
        <v>202</v>
      </c>
      <c r="AG24" s="6" t="s">
        <v>168</v>
      </c>
      <c r="AH24" s="6" t="s">
        <v>168</v>
      </c>
      <c r="AI24" s="6" t="s">
        <v>237</v>
      </c>
      <c r="AJ24" s="6" t="s">
        <v>169</v>
      </c>
      <c r="AK24" s="6" t="s">
        <v>168</v>
      </c>
      <c r="AL24" s="6" t="s">
        <v>169</v>
      </c>
      <c r="AM24" s="6" t="s">
        <v>175</v>
      </c>
      <c r="AN24" s="6" t="s">
        <v>228</v>
      </c>
      <c r="AO24" s="29">
        <v>290823</v>
      </c>
      <c r="AP24" s="6" t="s">
        <v>241</v>
      </c>
      <c r="AQ24" s="1" t="s">
        <v>242</v>
      </c>
      <c r="AR24" s="33" t="s">
        <v>240</v>
      </c>
    </row>
    <row r="25" spans="1:44" x14ac:dyDescent="0.2">
      <c r="A25" s="1">
        <f t="shared" si="0"/>
        <v>17</v>
      </c>
      <c r="B25" s="1" t="s">
        <v>52</v>
      </c>
      <c r="C25" s="1" t="s">
        <v>60</v>
      </c>
      <c r="D25" s="1" t="s">
        <v>158</v>
      </c>
      <c r="E25" s="1" t="s">
        <v>159</v>
      </c>
      <c r="F25" s="7">
        <v>42990000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42990000</v>
      </c>
      <c r="O25" s="7">
        <v>42990000</v>
      </c>
      <c r="P25" s="7" t="s">
        <v>225</v>
      </c>
      <c r="Q25" s="6" t="s">
        <v>185</v>
      </c>
      <c r="R25" s="6" t="s">
        <v>169</v>
      </c>
      <c r="S25" s="6" t="s">
        <v>206</v>
      </c>
      <c r="T25" s="6" t="s">
        <v>187</v>
      </c>
      <c r="U25" s="6" t="s">
        <v>169</v>
      </c>
      <c r="V25" s="6" t="s">
        <v>171</v>
      </c>
      <c r="W25" s="6" t="s">
        <v>169</v>
      </c>
      <c r="X25" s="6" t="s">
        <v>172</v>
      </c>
      <c r="Y25" s="6" t="s">
        <v>169</v>
      </c>
      <c r="Z25" s="6" t="s">
        <v>169</v>
      </c>
      <c r="AA25" s="6" t="s">
        <v>169</v>
      </c>
      <c r="AB25" s="6" t="s">
        <v>169</v>
      </c>
      <c r="AC25" s="6" t="s">
        <v>169</v>
      </c>
      <c r="AD25" s="6" t="s">
        <v>169</v>
      </c>
      <c r="AE25" s="6" t="s">
        <v>174</v>
      </c>
      <c r="AF25" s="6" t="s">
        <v>202</v>
      </c>
      <c r="AG25" s="6" t="s">
        <v>169</v>
      </c>
      <c r="AH25" s="6" t="s">
        <v>168</v>
      </c>
      <c r="AI25" s="6" t="s">
        <v>237</v>
      </c>
      <c r="AJ25" s="6" t="s">
        <v>169</v>
      </c>
      <c r="AK25" s="6" t="s">
        <v>168</v>
      </c>
      <c r="AL25" s="6" t="s">
        <v>169</v>
      </c>
      <c r="AM25" s="6" t="s">
        <v>175</v>
      </c>
      <c r="AN25" s="6" t="s">
        <v>233</v>
      </c>
      <c r="AO25" s="29">
        <v>380469</v>
      </c>
      <c r="AP25" s="6" t="s">
        <v>243</v>
      </c>
      <c r="AQ25" s="1" t="s">
        <v>244</v>
      </c>
      <c r="AR25" s="33" t="s">
        <v>245</v>
      </c>
    </row>
    <row r="26" spans="1:44" x14ac:dyDescent="0.2">
      <c r="A26">
        <f t="shared" si="0"/>
        <v>18</v>
      </c>
      <c r="B26" s="2" t="s">
        <v>52</v>
      </c>
      <c r="C26" s="2" t="s">
        <v>65</v>
      </c>
      <c r="D26" s="26" t="s">
        <v>151</v>
      </c>
      <c r="E26" s="25" t="s">
        <v>146</v>
      </c>
      <c r="F26" s="14">
        <v>13990000</v>
      </c>
      <c r="G26" s="14">
        <v>-2000000</v>
      </c>
      <c r="H26" s="14">
        <v>-200000</v>
      </c>
      <c r="I26" s="14">
        <v>-300000</v>
      </c>
      <c r="J26" s="14">
        <v>-500000</v>
      </c>
      <c r="K26" s="14">
        <v>-550000</v>
      </c>
      <c r="L26" s="14">
        <v>-450000</v>
      </c>
      <c r="M26" s="14">
        <v>-1000000</v>
      </c>
      <c r="N26" s="14">
        <v>11490000</v>
      </c>
      <c r="O26" s="14">
        <v>10490000</v>
      </c>
      <c r="P26" s="16" t="s">
        <v>246</v>
      </c>
      <c r="Q26" s="2" t="s">
        <v>247</v>
      </c>
      <c r="R26" s="2" t="s">
        <v>168</v>
      </c>
      <c r="S26" s="2" t="s">
        <v>248</v>
      </c>
      <c r="T26" s="2" t="s">
        <v>249</v>
      </c>
      <c r="U26" s="2" t="s">
        <v>169</v>
      </c>
      <c r="V26" s="2" t="s">
        <v>169</v>
      </c>
      <c r="W26" s="2" t="s">
        <v>168</v>
      </c>
      <c r="X26" s="2" t="s">
        <v>189</v>
      </c>
      <c r="Y26" s="2" t="s">
        <v>168</v>
      </c>
      <c r="Z26" s="2" t="s">
        <v>169</v>
      </c>
      <c r="AA26" s="2" t="s">
        <v>169</v>
      </c>
      <c r="AB26" s="2" t="s">
        <v>168</v>
      </c>
      <c r="AC26" s="2" t="s">
        <v>168</v>
      </c>
      <c r="AD26" s="2" t="s">
        <v>168</v>
      </c>
      <c r="AE26" s="2" t="s">
        <v>190</v>
      </c>
      <c r="AF26" s="2" t="s">
        <v>168</v>
      </c>
      <c r="AG26" s="2" t="s">
        <v>168</v>
      </c>
      <c r="AH26" s="2" t="s">
        <v>168</v>
      </c>
      <c r="AI26" s="2" t="s">
        <v>169</v>
      </c>
      <c r="AJ26" s="2" t="s">
        <v>168</v>
      </c>
      <c r="AK26" s="2" t="s">
        <v>168</v>
      </c>
      <c r="AL26" s="2" t="s">
        <v>169</v>
      </c>
      <c r="AM26" s="2" t="s">
        <v>175</v>
      </c>
      <c r="AN26" s="2" t="s">
        <v>250</v>
      </c>
      <c r="AO26" s="19">
        <v>126353</v>
      </c>
      <c r="AP26" s="2" t="s">
        <v>146</v>
      </c>
      <c r="AQ26" s="2" t="s">
        <v>251</v>
      </c>
      <c r="AR26" s="20" t="s">
        <v>252</v>
      </c>
    </row>
    <row r="27" spans="1:44" x14ac:dyDescent="0.2">
      <c r="A27" s="3">
        <f t="shared" si="0"/>
        <v>19</v>
      </c>
      <c r="B27" s="2" t="s">
        <v>52</v>
      </c>
      <c r="C27" s="2" t="s">
        <v>65</v>
      </c>
      <c r="D27" s="19" t="s">
        <v>66</v>
      </c>
      <c r="E27" s="2" t="s">
        <v>66</v>
      </c>
      <c r="F27" s="14">
        <v>13990000</v>
      </c>
      <c r="G27" s="14">
        <v>-2000000</v>
      </c>
      <c r="H27" s="14">
        <v>-200000</v>
      </c>
      <c r="I27" s="14">
        <v>-300000</v>
      </c>
      <c r="J27" s="14">
        <v>-500000</v>
      </c>
      <c r="K27" s="14">
        <v>-550000</v>
      </c>
      <c r="L27" s="14">
        <v>-450000</v>
      </c>
      <c r="M27" s="14">
        <v>-1000000</v>
      </c>
      <c r="N27" s="14">
        <v>11490000</v>
      </c>
      <c r="O27" s="14">
        <v>10490000</v>
      </c>
      <c r="P27" s="16" t="s">
        <v>246</v>
      </c>
      <c r="Q27" s="2" t="s">
        <v>247</v>
      </c>
      <c r="R27" s="2" t="s">
        <v>168</v>
      </c>
      <c r="S27" s="2" t="s">
        <v>248</v>
      </c>
      <c r="T27" s="2" t="s">
        <v>249</v>
      </c>
      <c r="U27" s="2" t="s">
        <v>169</v>
      </c>
      <c r="V27" s="2" t="s">
        <v>169</v>
      </c>
      <c r="W27" s="2" t="s">
        <v>168</v>
      </c>
      <c r="X27" s="2" t="s">
        <v>189</v>
      </c>
      <c r="Y27" s="2" t="s">
        <v>168</v>
      </c>
      <c r="Z27" s="2" t="s">
        <v>169</v>
      </c>
      <c r="AA27" s="2" t="s">
        <v>169</v>
      </c>
      <c r="AB27" s="2" t="s">
        <v>168</v>
      </c>
      <c r="AC27" s="2" t="s">
        <v>168</v>
      </c>
      <c r="AD27" s="2" t="s">
        <v>168</v>
      </c>
      <c r="AE27" s="2" t="s">
        <v>190</v>
      </c>
      <c r="AF27" s="2" t="s">
        <v>168</v>
      </c>
      <c r="AG27" s="2" t="s">
        <v>168</v>
      </c>
      <c r="AH27" s="2" t="s">
        <v>168</v>
      </c>
      <c r="AI27" s="2" t="s">
        <v>169</v>
      </c>
      <c r="AJ27" s="2" t="s">
        <v>168</v>
      </c>
      <c r="AK27" s="2" t="s">
        <v>168</v>
      </c>
      <c r="AL27" s="2" t="s">
        <v>169</v>
      </c>
      <c r="AM27" s="2" t="s">
        <v>175</v>
      </c>
      <c r="AN27" s="2" t="s">
        <v>250</v>
      </c>
      <c r="AO27" s="19">
        <v>164470</v>
      </c>
      <c r="AP27" s="2" t="s">
        <v>146</v>
      </c>
      <c r="AQ27" s="2" t="s">
        <v>253</v>
      </c>
      <c r="AR27" s="20" t="s">
        <v>254</v>
      </c>
    </row>
    <row r="28" spans="1:44" x14ac:dyDescent="0.2">
      <c r="A28" s="3">
        <f t="shared" si="0"/>
        <v>20</v>
      </c>
      <c r="B28" s="2" t="s">
        <v>52</v>
      </c>
      <c r="C28" s="2" t="s">
        <v>65</v>
      </c>
      <c r="D28" s="19" t="s">
        <v>67</v>
      </c>
      <c r="E28" t="s">
        <v>68</v>
      </c>
      <c r="F28" s="14">
        <v>15990000</v>
      </c>
      <c r="G28" s="14">
        <v>-600000</v>
      </c>
      <c r="H28" s="14">
        <v>-350000</v>
      </c>
      <c r="I28" s="14">
        <v>-100000</v>
      </c>
      <c r="J28" s="14">
        <v>-450000</v>
      </c>
      <c r="K28" s="14">
        <v>-600000</v>
      </c>
      <c r="L28" s="14">
        <v>-350000</v>
      </c>
      <c r="M28" s="14">
        <v>-950000</v>
      </c>
      <c r="N28" s="14">
        <v>14940000</v>
      </c>
      <c r="O28" s="14">
        <v>13990000</v>
      </c>
      <c r="P28" s="16" t="s">
        <v>246</v>
      </c>
      <c r="Q28" s="2" t="s">
        <v>247</v>
      </c>
      <c r="R28" s="2" t="s">
        <v>168</v>
      </c>
      <c r="S28" s="2" t="s">
        <v>248</v>
      </c>
      <c r="T28" s="2" t="s">
        <v>249</v>
      </c>
      <c r="U28" s="2" t="s">
        <v>169</v>
      </c>
      <c r="V28" s="2" t="s">
        <v>169</v>
      </c>
      <c r="W28" s="2" t="s">
        <v>169</v>
      </c>
      <c r="X28" s="2" t="s">
        <v>189</v>
      </c>
      <c r="Y28" s="2" t="s">
        <v>169</v>
      </c>
      <c r="Z28" s="2" t="s">
        <v>169</v>
      </c>
      <c r="AA28" s="2" t="s">
        <v>169</v>
      </c>
      <c r="AB28" s="2" t="s">
        <v>168</v>
      </c>
      <c r="AC28" s="2" t="s">
        <v>168</v>
      </c>
      <c r="AD28" s="2" t="s">
        <v>168</v>
      </c>
      <c r="AE28" s="2" t="s">
        <v>174</v>
      </c>
      <c r="AF28" s="2" t="s">
        <v>168</v>
      </c>
      <c r="AG28" s="2" t="s">
        <v>168</v>
      </c>
      <c r="AH28" s="2" t="s">
        <v>168</v>
      </c>
      <c r="AI28" s="2" t="s">
        <v>169</v>
      </c>
      <c r="AJ28" s="2" t="s">
        <v>168</v>
      </c>
      <c r="AK28" s="2" t="s">
        <v>168</v>
      </c>
      <c r="AL28" s="2" t="s">
        <v>169</v>
      </c>
      <c r="AM28" s="2" t="s">
        <v>175</v>
      </c>
      <c r="AN28" s="2" t="s">
        <v>250</v>
      </c>
      <c r="AO28" s="19">
        <v>161647</v>
      </c>
      <c r="AP28" s="2" t="s">
        <v>68</v>
      </c>
      <c r="AQ28" s="2" t="s">
        <v>255</v>
      </c>
      <c r="AR28" s="20" t="s">
        <v>252</v>
      </c>
    </row>
    <row r="29" spans="1:44" x14ac:dyDescent="0.2">
      <c r="A29" s="3">
        <f t="shared" si="0"/>
        <v>21</v>
      </c>
      <c r="B29" s="2" t="s">
        <v>52</v>
      </c>
      <c r="C29" s="2" t="s">
        <v>65</v>
      </c>
      <c r="D29" s="19" t="s">
        <v>69</v>
      </c>
      <c r="E29" s="2" t="s">
        <v>69</v>
      </c>
      <c r="F29" s="14">
        <v>15990000</v>
      </c>
      <c r="G29" s="14">
        <v>-600000</v>
      </c>
      <c r="H29" s="14">
        <v>-350000</v>
      </c>
      <c r="I29" s="14">
        <v>-100000</v>
      </c>
      <c r="J29" s="14">
        <v>-450000</v>
      </c>
      <c r="K29" s="14">
        <v>-600000</v>
      </c>
      <c r="L29" s="14">
        <v>-350000</v>
      </c>
      <c r="M29" s="14">
        <v>-950000</v>
      </c>
      <c r="N29" s="14">
        <v>14940000</v>
      </c>
      <c r="O29" s="14">
        <v>13990000</v>
      </c>
      <c r="P29" s="16" t="s">
        <v>246</v>
      </c>
      <c r="Q29" s="2" t="s">
        <v>247</v>
      </c>
      <c r="R29" s="2" t="s">
        <v>168</v>
      </c>
      <c r="S29" s="2" t="s">
        <v>248</v>
      </c>
      <c r="T29" s="2" t="s">
        <v>249</v>
      </c>
      <c r="U29" s="2" t="s">
        <v>169</v>
      </c>
      <c r="V29" s="2" t="s">
        <v>169</v>
      </c>
      <c r="W29" s="2" t="s">
        <v>169</v>
      </c>
      <c r="X29" s="2" t="s">
        <v>189</v>
      </c>
      <c r="Y29" s="2" t="s">
        <v>169</v>
      </c>
      <c r="Z29" s="2" t="s">
        <v>169</v>
      </c>
      <c r="AA29" s="2" t="s">
        <v>169</v>
      </c>
      <c r="AB29" s="2" t="s">
        <v>168</v>
      </c>
      <c r="AC29" s="2" t="s">
        <v>168</v>
      </c>
      <c r="AD29" s="2" t="s">
        <v>168</v>
      </c>
      <c r="AE29" s="2" t="s">
        <v>174</v>
      </c>
      <c r="AF29" s="2" t="s">
        <v>168</v>
      </c>
      <c r="AG29" s="2" t="s">
        <v>168</v>
      </c>
      <c r="AH29" s="2" t="s">
        <v>168</v>
      </c>
      <c r="AI29" s="2" t="s">
        <v>169</v>
      </c>
      <c r="AJ29" s="2" t="s">
        <v>168</v>
      </c>
      <c r="AK29" s="2" t="s">
        <v>168</v>
      </c>
      <c r="AL29" s="2" t="s">
        <v>169</v>
      </c>
      <c r="AM29" s="2" t="s">
        <v>175</v>
      </c>
      <c r="AN29" s="2" t="s">
        <v>250</v>
      </c>
      <c r="AO29" s="19">
        <v>211058</v>
      </c>
      <c r="AP29" s="2" t="s">
        <v>68</v>
      </c>
      <c r="AQ29" s="2" t="s">
        <v>256</v>
      </c>
      <c r="AR29" s="20" t="s">
        <v>254</v>
      </c>
    </row>
    <row r="30" spans="1:44" x14ac:dyDescent="0.2">
      <c r="A30" s="3">
        <f t="shared" si="0"/>
        <v>22</v>
      </c>
      <c r="B30" s="2" t="s">
        <v>52</v>
      </c>
      <c r="C30" s="2" t="s">
        <v>65</v>
      </c>
      <c r="D30" s="19" t="s">
        <v>70</v>
      </c>
      <c r="E30" t="s">
        <v>71</v>
      </c>
      <c r="F30" s="14">
        <v>16990000</v>
      </c>
      <c r="G30" s="14">
        <v>-500000</v>
      </c>
      <c r="H30" s="14">
        <v>-400000</v>
      </c>
      <c r="I30" s="14">
        <v>-400000</v>
      </c>
      <c r="J30" s="14">
        <v>-800000</v>
      </c>
      <c r="K30" s="14">
        <v>-350000</v>
      </c>
      <c r="L30" s="14">
        <v>-350000</v>
      </c>
      <c r="M30" s="14">
        <v>-700000</v>
      </c>
      <c r="N30" s="14">
        <v>15690000</v>
      </c>
      <c r="O30" s="14">
        <v>14990000</v>
      </c>
      <c r="P30" s="16" t="s">
        <v>168</v>
      </c>
      <c r="Q30" s="2" t="s">
        <v>185</v>
      </c>
      <c r="R30" s="2" t="s">
        <v>168</v>
      </c>
      <c r="S30" s="2" t="s">
        <v>169</v>
      </c>
      <c r="T30" s="2" t="s">
        <v>249</v>
      </c>
      <c r="U30" s="2" t="s">
        <v>169</v>
      </c>
      <c r="V30" s="2" t="s">
        <v>169</v>
      </c>
      <c r="W30" s="2" t="s">
        <v>169</v>
      </c>
      <c r="X30" s="2" t="s">
        <v>257</v>
      </c>
      <c r="Y30" s="2" t="s">
        <v>168</v>
      </c>
      <c r="Z30" s="2" t="s">
        <v>169</v>
      </c>
      <c r="AA30" s="2" t="s">
        <v>169</v>
      </c>
      <c r="AB30" s="2" t="s">
        <v>168</v>
      </c>
      <c r="AC30" s="2" t="s">
        <v>168</v>
      </c>
      <c r="AD30" s="2" t="s">
        <v>168</v>
      </c>
      <c r="AE30" s="2" t="s">
        <v>174</v>
      </c>
      <c r="AF30" s="2" t="s">
        <v>168</v>
      </c>
      <c r="AG30" s="2" t="s">
        <v>168</v>
      </c>
      <c r="AH30" s="2" t="s">
        <v>168</v>
      </c>
      <c r="AI30" s="2" t="s">
        <v>169</v>
      </c>
      <c r="AJ30" s="2" t="s">
        <v>168</v>
      </c>
      <c r="AK30" s="2" t="s">
        <v>168</v>
      </c>
      <c r="AL30" s="2" t="s">
        <v>169</v>
      </c>
      <c r="AM30" s="2" t="s">
        <v>175</v>
      </c>
      <c r="AN30" s="2" t="s">
        <v>258</v>
      </c>
      <c r="AO30" s="19">
        <v>177882</v>
      </c>
      <c r="AP30" s="2" t="s">
        <v>71</v>
      </c>
      <c r="AQ30" s="2" t="s">
        <v>259</v>
      </c>
      <c r="AR30" s="20" t="s">
        <v>260</v>
      </c>
    </row>
    <row r="31" spans="1:44" x14ac:dyDescent="0.2">
      <c r="A31" s="3">
        <f t="shared" si="0"/>
        <v>23</v>
      </c>
      <c r="B31" s="2" t="s">
        <v>52</v>
      </c>
      <c r="C31" s="2" t="s">
        <v>65</v>
      </c>
      <c r="D31" s="19" t="s">
        <v>72</v>
      </c>
      <c r="E31" s="2" t="s">
        <v>72</v>
      </c>
      <c r="F31" s="14">
        <v>16990000</v>
      </c>
      <c r="G31" s="14">
        <v>-500000</v>
      </c>
      <c r="H31" s="14">
        <v>-400000</v>
      </c>
      <c r="I31" s="14">
        <v>-400000</v>
      </c>
      <c r="J31" s="14">
        <v>-800000</v>
      </c>
      <c r="K31" s="14">
        <v>-350000</v>
      </c>
      <c r="L31" s="14">
        <v>-350000</v>
      </c>
      <c r="M31" s="14">
        <v>-700000</v>
      </c>
      <c r="N31" s="14">
        <v>15690000</v>
      </c>
      <c r="O31" s="14">
        <v>14990000</v>
      </c>
      <c r="P31" s="17" t="s">
        <v>246</v>
      </c>
      <c r="Q31" s="2" t="s">
        <v>185</v>
      </c>
      <c r="R31" s="2" t="s">
        <v>168</v>
      </c>
      <c r="S31" s="2" t="s">
        <v>169</v>
      </c>
      <c r="T31" s="2" t="s">
        <v>249</v>
      </c>
      <c r="U31" s="2" t="s">
        <v>169</v>
      </c>
      <c r="V31" s="2" t="s">
        <v>169</v>
      </c>
      <c r="W31" s="2" t="s">
        <v>169</v>
      </c>
      <c r="X31" s="2" t="s">
        <v>189</v>
      </c>
      <c r="Y31" s="2" t="s">
        <v>168</v>
      </c>
      <c r="Z31" s="2" t="s">
        <v>169</v>
      </c>
      <c r="AA31" s="2" t="s">
        <v>169</v>
      </c>
      <c r="AB31" s="2" t="s">
        <v>168</v>
      </c>
      <c r="AC31" s="2" t="s">
        <v>168</v>
      </c>
      <c r="AD31" s="2" t="s">
        <v>168</v>
      </c>
      <c r="AE31" s="2" t="s">
        <v>174</v>
      </c>
      <c r="AF31" s="2" t="s">
        <v>168</v>
      </c>
      <c r="AG31" s="2" t="s">
        <v>168</v>
      </c>
      <c r="AH31" s="2" t="s">
        <v>168</v>
      </c>
      <c r="AI31" s="2" t="s">
        <v>169</v>
      </c>
      <c r="AJ31" s="2" t="s">
        <v>168</v>
      </c>
      <c r="AK31" s="2" t="s">
        <v>168</v>
      </c>
      <c r="AL31" s="2" t="s">
        <v>169</v>
      </c>
      <c r="AM31" s="2" t="s">
        <v>175</v>
      </c>
      <c r="AN31" s="2" t="s">
        <v>258</v>
      </c>
      <c r="AO31" s="19">
        <v>218117</v>
      </c>
      <c r="AP31" s="2" t="s">
        <v>71</v>
      </c>
      <c r="AQ31" s="2" t="s">
        <v>261</v>
      </c>
      <c r="AR31" s="20" t="s">
        <v>262</v>
      </c>
    </row>
    <row r="32" spans="1:44" x14ac:dyDescent="0.2">
      <c r="A32" s="3">
        <f t="shared" si="0"/>
        <v>24</v>
      </c>
      <c r="B32" s="2" t="s">
        <v>52</v>
      </c>
      <c r="C32" s="2" t="s">
        <v>65</v>
      </c>
      <c r="D32" s="19" t="s">
        <v>73</v>
      </c>
      <c r="E32" s="2" t="s">
        <v>73</v>
      </c>
      <c r="F32" s="14">
        <v>18490000</v>
      </c>
      <c r="G32" s="14">
        <v>-800000</v>
      </c>
      <c r="H32" s="14">
        <v>-300000</v>
      </c>
      <c r="I32" s="14">
        <v>-200000</v>
      </c>
      <c r="J32" s="14">
        <v>-500000</v>
      </c>
      <c r="K32" s="14">
        <v>-400000</v>
      </c>
      <c r="L32" s="14">
        <v>-300000</v>
      </c>
      <c r="M32" s="14">
        <v>-700000</v>
      </c>
      <c r="N32" s="14">
        <v>17190000</v>
      </c>
      <c r="O32" s="14">
        <v>16490000</v>
      </c>
      <c r="P32" s="16" t="s">
        <v>246</v>
      </c>
      <c r="Q32" s="2" t="s">
        <v>185</v>
      </c>
      <c r="R32" s="2" t="s">
        <v>169</v>
      </c>
      <c r="S32" s="2" t="s">
        <v>248</v>
      </c>
      <c r="T32" s="2" t="s">
        <v>207</v>
      </c>
      <c r="U32" s="2" t="s">
        <v>169</v>
      </c>
      <c r="V32" s="2" t="s">
        <v>188</v>
      </c>
      <c r="W32" s="2" t="s">
        <v>169</v>
      </c>
      <c r="X32" s="2" t="s">
        <v>201</v>
      </c>
      <c r="Y32" s="2" t="s">
        <v>169</v>
      </c>
      <c r="Z32" s="2" t="s">
        <v>169</v>
      </c>
      <c r="AA32" s="2" t="s">
        <v>169</v>
      </c>
      <c r="AB32" s="2" t="s">
        <v>169</v>
      </c>
      <c r="AC32" s="2" t="s">
        <v>169</v>
      </c>
      <c r="AD32" s="2" t="s">
        <v>168</v>
      </c>
      <c r="AE32" s="2" t="s">
        <v>174</v>
      </c>
      <c r="AF32" s="2" t="s">
        <v>168</v>
      </c>
      <c r="AG32" s="2" t="s">
        <v>168</v>
      </c>
      <c r="AH32" s="2" t="s">
        <v>168</v>
      </c>
      <c r="AI32" s="2" t="s">
        <v>169</v>
      </c>
      <c r="AJ32" s="2" t="s">
        <v>168</v>
      </c>
      <c r="AK32" s="2" t="s">
        <v>168</v>
      </c>
      <c r="AL32" s="2" t="s">
        <v>169</v>
      </c>
      <c r="AM32" s="2" t="s">
        <v>175</v>
      </c>
      <c r="AN32" s="2" t="s">
        <v>258</v>
      </c>
      <c r="AO32" s="19">
        <v>234352</v>
      </c>
      <c r="AP32" s="2" t="s">
        <v>263</v>
      </c>
      <c r="AQ32" s="2" t="s">
        <v>264</v>
      </c>
      <c r="AR32" s="20" t="s">
        <v>262</v>
      </c>
    </row>
    <row r="33" spans="1:44" x14ac:dyDescent="0.2">
      <c r="A33" s="3">
        <f t="shared" si="0"/>
        <v>25</v>
      </c>
      <c r="B33" s="2" t="s">
        <v>52</v>
      </c>
      <c r="C33" s="2" t="s">
        <v>74</v>
      </c>
      <c r="D33" s="19" t="s">
        <v>75</v>
      </c>
      <c r="E33" s="2" t="s">
        <v>76</v>
      </c>
      <c r="F33" s="14">
        <v>27390000</v>
      </c>
      <c r="G33" s="14">
        <v>-900000</v>
      </c>
      <c r="H33" s="14">
        <v>0</v>
      </c>
      <c r="I33" s="14">
        <v>0</v>
      </c>
      <c r="J33" s="14">
        <v>0</v>
      </c>
      <c r="K33" s="14">
        <v>-150000</v>
      </c>
      <c r="L33" s="14">
        <v>-350000</v>
      </c>
      <c r="M33" s="14">
        <v>-500000</v>
      </c>
      <c r="N33" s="14">
        <v>26490000</v>
      </c>
      <c r="O33" s="14">
        <v>25990000</v>
      </c>
      <c r="P33" s="16" t="s">
        <v>265</v>
      </c>
      <c r="Q33" s="2" t="s">
        <v>185</v>
      </c>
      <c r="R33" s="2" t="s">
        <v>168</v>
      </c>
      <c r="S33" s="2" t="s">
        <v>186</v>
      </c>
      <c r="T33" s="2" t="s">
        <v>187</v>
      </c>
      <c r="U33" s="2" t="s">
        <v>169</v>
      </c>
      <c r="V33" s="2" t="s">
        <v>169</v>
      </c>
      <c r="W33" s="2" t="s">
        <v>169</v>
      </c>
      <c r="X33" s="2" t="s">
        <v>201</v>
      </c>
      <c r="Y33" s="2" t="s">
        <v>169</v>
      </c>
      <c r="Z33" s="2" t="s">
        <v>169</v>
      </c>
      <c r="AA33" s="2" t="s">
        <v>169</v>
      </c>
      <c r="AB33" s="2" t="s">
        <v>168</v>
      </c>
      <c r="AC33" s="2" t="s">
        <v>168</v>
      </c>
      <c r="AD33" s="2" t="s">
        <v>168</v>
      </c>
      <c r="AE33" s="2" t="s">
        <v>217</v>
      </c>
      <c r="AF33" s="2" t="s">
        <v>168</v>
      </c>
      <c r="AG33" s="2" t="s">
        <v>168</v>
      </c>
      <c r="AH33" s="2" t="s">
        <v>168</v>
      </c>
      <c r="AI33" s="2" t="s">
        <v>227</v>
      </c>
      <c r="AJ33" s="2" t="s">
        <v>168</v>
      </c>
      <c r="AK33" s="2" t="s">
        <v>168</v>
      </c>
      <c r="AL33" s="2" t="s">
        <v>169</v>
      </c>
      <c r="AM33" s="2" t="s">
        <v>175</v>
      </c>
      <c r="AN33" s="2" t="s">
        <v>266</v>
      </c>
      <c r="AO33" s="19">
        <v>449646</v>
      </c>
      <c r="AP33" s="2" t="s">
        <v>267</v>
      </c>
      <c r="AQ33" s="2" t="s">
        <v>268</v>
      </c>
      <c r="AR33" s="20" t="s">
        <v>269</v>
      </c>
    </row>
    <row r="34" spans="1:44" x14ac:dyDescent="0.2">
      <c r="A34" s="3">
        <f t="shared" si="0"/>
        <v>26</v>
      </c>
      <c r="B34" s="2" t="s">
        <v>52</v>
      </c>
      <c r="C34" s="2" t="s">
        <v>74</v>
      </c>
      <c r="D34" s="19" t="s">
        <v>77</v>
      </c>
      <c r="E34" s="2" t="s">
        <v>78</v>
      </c>
      <c r="F34" s="14">
        <v>30390000</v>
      </c>
      <c r="G34" s="14">
        <v>0</v>
      </c>
      <c r="H34" s="14">
        <v>0</v>
      </c>
      <c r="I34" s="14">
        <v>0</v>
      </c>
      <c r="J34" s="14">
        <v>0</v>
      </c>
      <c r="K34" s="14">
        <v>-500000</v>
      </c>
      <c r="L34" s="14">
        <v>-300000</v>
      </c>
      <c r="M34" s="14">
        <v>-800000</v>
      </c>
      <c r="N34" s="14">
        <v>30390000</v>
      </c>
      <c r="O34" s="14">
        <v>29590000</v>
      </c>
      <c r="P34" s="16" t="s">
        <v>270</v>
      </c>
      <c r="Q34" s="2" t="s">
        <v>185</v>
      </c>
      <c r="R34" s="2" t="s">
        <v>169</v>
      </c>
      <c r="S34" s="2" t="s">
        <v>226</v>
      </c>
      <c r="T34" s="2" t="s">
        <v>187</v>
      </c>
      <c r="U34" s="2" t="s">
        <v>169</v>
      </c>
      <c r="V34" s="2" t="s">
        <v>171</v>
      </c>
      <c r="W34" s="2" t="s">
        <v>169</v>
      </c>
      <c r="X34" s="2" t="s">
        <v>222</v>
      </c>
      <c r="Y34" s="2" t="s">
        <v>169</v>
      </c>
      <c r="Z34" s="2" t="s">
        <v>169</v>
      </c>
      <c r="AA34" s="2" t="s">
        <v>169</v>
      </c>
      <c r="AB34" s="2" t="s">
        <v>169</v>
      </c>
      <c r="AC34" s="2" t="s">
        <v>168</v>
      </c>
      <c r="AD34" s="2" t="s">
        <v>169</v>
      </c>
      <c r="AE34" s="2" t="s">
        <v>174</v>
      </c>
      <c r="AF34" s="2" t="s">
        <v>202</v>
      </c>
      <c r="AG34" s="2" t="s">
        <v>168</v>
      </c>
      <c r="AH34" s="2" t="s">
        <v>168</v>
      </c>
      <c r="AI34" s="2" t="s">
        <v>227</v>
      </c>
      <c r="AJ34" s="2" t="s">
        <v>169</v>
      </c>
      <c r="AK34" s="2" t="s">
        <v>168</v>
      </c>
      <c r="AL34" s="2" t="s">
        <v>169</v>
      </c>
      <c r="AM34" s="2" t="s">
        <v>175</v>
      </c>
      <c r="AN34" s="2" t="s">
        <v>266</v>
      </c>
      <c r="AO34" s="19">
        <v>515998</v>
      </c>
      <c r="AP34" s="2" t="s">
        <v>271</v>
      </c>
      <c r="AQ34" s="2" t="s">
        <v>272</v>
      </c>
      <c r="AR34" s="20" t="s">
        <v>269</v>
      </c>
    </row>
    <row r="35" spans="1:44" x14ac:dyDescent="0.2">
      <c r="A35" s="3">
        <f t="shared" si="0"/>
        <v>27</v>
      </c>
      <c r="B35" s="2" t="s">
        <v>52</v>
      </c>
      <c r="C35" s="2" t="s">
        <v>74</v>
      </c>
      <c r="D35" s="19" t="s">
        <v>160</v>
      </c>
      <c r="E35" s="2" t="s">
        <v>161</v>
      </c>
      <c r="F35" s="14">
        <v>28990000</v>
      </c>
      <c r="G35" s="14">
        <v>-1000000</v>
      </c>
      <c r="H35" s="14">
        <v>0</v>
      </c>
      <c r="I35" s="14">
        <v>-500000</v>
      </c>
      <c r="J35" s="14">
        <v>-500000</v>
      </c>
      <c r="K35" s="14">
        <v>0</v>
      </c>
      <c r="L35" s="14">
        <v>-1500000</v>
      </c>
      <c r="M35" s="14">
        <v>-1500000</v>
      </c>
      <c r="N35" s="14">
        <v>27490000</v>
      </c>
      <c r="O35" s="14">
        <v>25990000</v>
      </c>
      <c r="P35" s="16" t="s">
        <v>265</v>
      </c>
      <c r="Q35" s="2" t="s">
        <v>185</v>
      </c>
      <c r="R35" s="2" t="s">
        <v>169</v>
      </c>
      <c r="S35" s="2" t="s">
        <v>206</v>
      </c>
      <c r="T35" s="2" t="s">
        <v>187</v>
      </c>
      <c r="U35" s="2" t="s">
        <v>169</v>
      </c>
      <c r="V35" s="2" t="s">
        <v>171</v>
      </c>
      <c r="W35" s="2" t="s">
        <v>169</v>
      </c>
      <c r="X35" s="2" t="s">
        <v>201</v>
      </c>
      <c r="Y35" s="2" t="s">
        <v>169</v>
      </c>
      <c r="Z35" s="2" t="s">
        <v>169</v>
      </c>
      <c r="AA35" s="2" t="s">
        <v>169</v>
      </c>
      <c r="AB35" s="2" t="s">
        <v>168</v>
      </c>
      <c r="AC35" s="2" t="s">
        <v>168</v>
      </c>
      <c r="AD35" s="2" t="s">
        <v>168</v>
      </c>
      <c r="AE35" s="2" t="s">
        <v>174</v>
      </c>
      <c r="AF35" s="2" t="s">
        <v>202</v>
      </c>
      <c r="AG35" s="2" t="s">
        <v>168</v>
      </c>
      <c r="AH35" s="2" t="s">
        <v>168</v>
      </c>
      <c r="AI35" s="2" t="s">
        <v>237</v>
      </c>
      <c r="AJ35" s="2" t="s">
        <v>168</v>
      </c>
      <c r="AK35" s="2" t="s">
        <v>168</v>
      </c>
      <c r="AL35" s="2" t="s">
        <v>169</v>
      </c>
      <c r="AM35" s="2" t="s">
        <v>175</v>
      </c>
      <c r="AN35" s="2" t="s">
        <v>266</v>
      </c>
      <c r="AO35" s="19">
        <v>553410</v>
      </c>
      <c r="AP35" s="2" t="s">
        <v>273</v>
      </c>
      <c r="AQ35" s="2" t="s">
        <v>274</v>
      </c>
      <c r="AR35" s="20" t="s">
        <v>275</v>
      </c>
    </row>
    <row r="36" spans="1:44" x14ac:dyDescent="0.2">
      <c r="A36" s="3">
        <f t="shared" si="0"/>
        <v>28</v>
      </c>
      <c r="B36" s="2" t="s">
        <v>52</v>
      </c>
      <c r="C36" s="2" t="s">
        <v>74</v>
      </c>
      <c r="D36" s="19" t="s">
        <v>162</v>
      </c>
      <c r="E36" s="2" t="s">
        <v>163</v>
      </c>
      <c r="F36" s="14">
        <v>29990000</v>
      </c>
      <c r="G36" s="14">
        <v>0</v>
      </c>
      <c r="H36" s="14">
        <v>0</v>
      </c>
      <c r="I36" s="14">
        <v>-1000000</v>
      </c>
      <c r="J36" s="14">
        <v>-1000000</v>
      </c>
      <c r="K36" s="14">
        <v>0</v>
      </c>
      <c r="L36" s="14">
        <v>0</v>
      </c>
      <c r="M36" s="14">
        <v>0</v>
      </c>
      <c r="N36" s="14">
        <v>28990000</v>
      </c>
      <c r="O36" s="14">
        <v>28990000</v>
      </c>
      <c r="P36" s="16" t="s">
        <v>265</v>
      </c>
      <c r="Q36" s="2" t="s">
        <v>185</v>
      </c>
      <c r="R36" s="2" t="s">
        <v>169</v>
      </c>
      <c r="S36" s="2" t="s">
        <v>206</v>
      </c>
      <c r="T36" s="2" t="s">
        <v>187</v>
      </c>
      <c r="U36" s="2" t="s">
        <v>169</v>
      </c>
      <c r="V36" s="2" t="s">
        <v>171</v>
      </c>
      <c r="W36" s="2" t="s">
        <v>169</v>
      </c>
      <c r="X36" s="2" t="s">
        <v>201</v>
      </c>
      <c r="Y36" s="2" t="s">
        <v>169</v>
      </c>
      <c r="Z36" s="2" t="s">
        <v>169</v>
      </c>
      <c r="AA36" s="2" t="s">
        <v>169</v>
      </c>
      <c r="AB36" s="2" t="s">
        <v>168</v>
      </c>
      <c r="AC36" s="2" t="s">
        <v>168</v>
      </c>
      <c r="AD36" s="2" t="s">
        <v>168</v>
      </c>
      <c r="AE36" s="2" t="s">
        <v>174</v>
      </c>
      <c r="AF36" s="2" t="s">
        <v>202</v>
      </c>
      <c r="AG36" s="2" t="s">
        <v>168</v>
      </c>
      <c r="AH36" s="2" t="s">
        <v>168</v>
      </c>
      <c r="AI36" s="2" t="s">
        <v>237</v>
      </c>
      <c r="AJ36" s="2" t="s">
        <v>168</v>
      </c>
      <c r="AK36" s="2" t="s">
        <v>168</v>
      </c>
      <c r="AL36" s="2" t="s">
        <v>169</v>
      </c>
      <c r="AM36" s="2" t="s">
        <v>175</v>
      </c>
      <c r="AN36" s="2" t="s">
        <v>276</v>
      </c>
      <c r="AO36" s="19">
        <v>643763</v>
      </c>
      <c r="AP36" s="2" t="s">
        <v>277</v>
      </c>
      <c r="AQ36" s="2" t="s">
        <v>278</v>
      </c>
      <c r="AR36" s="20" t="s">
        <v>279</v>
      </c>
    </row>
    <row r="37" spans="1:44" x14ac:dyDescent="0.2">
      <c r="A37" s="3">
        <f t="shared" si="0"/>
        <v>29</v>
      </c>
      <c r="B37" s="2" t="s">
        <v>52</v>
      </c>
      <c r="C37" s="2" t="s">
        <v>74</v>
      </c>
      <c r="D37" s="19" t="s">
        <v>164</v>
      </c>
      <c r="E37" s="2" t="s">
        <v>165</v>
      </c>
      <c r="F37" s="14">
        <v>32490000</v>
      </c>
      <c r="G37" s="14">
        <v>0</v>
      </c>
      <c r="H37" s="14">
        <v>0</v>
      </c>
      <c r="I37" s="14">
        <v>-500000</v>
      </c>
      <c r="J37" s="14">
        <v>-500000</v>
      </c>
      <c r="K37" s="14">
        <v>0</v>
      </c>
      <c r="L37" s="14">
        <v>0</v>
      </c>
      <c r="M37" s="14">
        <v>0</v>
      </c>
      <c r="N37" s="14">
        <v>31990000</v>
      </c>
      <c r="O37" s="14">
        <v>31990000</v>
      </c>
      <c r="P37" s="16" t="s">
        <v>265</v>
      </c>
      <c r="Q37" s="2" t="s">
        <v>185</v>
      </c>
      <c r="R37" s="2" t="s">
        <v>169</v>
      </c>
      <c r="S37" s="2" t="s">
        <v>206</v>
      </c>
      <c r="T37" s="2" t="s">
        <v>187</v>
      </c>
      <c r="U37" s="2" t="s">
        <v>169</v>
      </c>
      <c r="V37" s="2" t="s">
        <v>171</v>
      </c>
      <c r="W37" s="2" t="s">
        <v>169</v>
      </c>
      <c r="X37" s="2" t="s">
        <v>222</v>
      </c>
      <c r="Y37" s="2" t="s">
        <v>169</v>
      </c>
      <c r="Z37" s="2" t="s">
        <v>169</v>
      </c>
      <c r="AA37" s="2" t="s">
        <v>169</v>
      </c>
      <c r="AB37" s="2" t="s">
        <v>169</v>
      </c>
      <c r="AC37" s="2" t="s">
        <v>168</v>
      </c>
      <c r="AD37" s="2" t="s">
        <v>169</v>
      </c>
      <c r="AE37" s="2" t="s">
        <v>174</v>
      </c>
      <c r="AF37" s="2" t="s">
        <v>202</v>
      </c>
      <c r="AG37" s="2" t="s">
        <v>168</v>
      </c>
      <c r="AH37" s="2" t="s">
        <v>168</v>
      </c>
      <c r="AI37" s="2" t="s">
        <v>237</v>
      </c>
      <c r="AJ37" s="2" t="s">
        <v>169</v>
      </c>
      <c r="AK37" s="2" t="s">
        <v>168</v>
      </c>
      <c r="AL37" s="2" t="s">
        <v>169</v>
      </c>
      <c r="AM37" s="2" t="s">
        <v>175</v>
      </c>
      <c r="AN37" s="2" t="s">
        <v>266</v>
      </c>
      <c r="AO37" s="19">
        <v>642351</v>
      </c>
      <c r="AP37" s="2" t="s">
        <v>280</v>
      </c>
      <c r="AQ37" s="2" t="s">
        <v>281</v>
      </c>
      <c r="AR37" s="20" t="s">
        <v>275</v>
      </c>
    </row>
    <row r="38" spans="1:44" x14ac:dyDescent="0.2">
      <c r="A38" s="3">
        <f t="shared" si="0"/>
        <v>30</v>
      </c>
      <c r="B38" s="2" t="s">
        <v>52</v>
      </c>
      <c r="C38" s="2" t="s">
        <v>79</v>
      </c>
      <c r="D38" s="19" t="s">
        <v>80</v>
      </c>
      <c r="E38" s="2" t="s">
        <v>81</v>
      </c>
      <c r="F38" s="14">
        <v>44390000</v>
      </c>
      <c r="G38" s="14">
        <v>-1000000</v>
      </c>
      <c r="H38" s="14">
        <v>-500000</v>
      </c>
      <c r="I38" s="14">
        <v>-500000</v>
      </c>
      <c r="J38" s="14">
        <v>-1000000</v>
      </c>
      <c r="K38" s="14">
        <v>-500000</v>
      </c>
      <c r="L38" s="14">
        <v>-500000</v>
      </c>
      <c r="M38" s="14">
        <v>-1000000</v>
      </c>
      <c r="N38" s="14">
        <v>42390000</v>
      </c>
      <c r="O38" s="14">
        <v>41390000</v>
      </c>
      <c r="P38" s="16" t="s">
        <v>282</v>
      </c>
      <c r="Q38" s="2" t="s">
        <v>167</v>
      </c>
      <c r="R38" s="2" t="s">
        <v>168</v>
      </c>
      <c r="S38" s="2" t="s">
        <v>186</v>
      </c>
      <c r="T38" s="2" t="s">
        <v>187</v>
      </c>
      <c r="U38" s="2" t="s">
        <v>169</v>
      </c>
      <c r="V38" s="2" t="s">
        <v>169</v>
      </c>
      <c r="W38" s="2" t="s">
        <v>169</v>
      </c>
      <c r="X38" s="2" t="s">
        <v>201</v>
      </c>
      <c r="Y38" s="2" t="s">
        <v>169</v>
      </c>
      <c r="Z38" s="2" t="s">
        <v>169</v>
      </c>
      <c r="AA38" s="2" t="s">
        <v>169</v>
      </c>
      <c r="AB38" s="2" t="s">
        <v>168</v>
      </c>
      <c r="AC38" s="2" t="s">
        <v>168</v>
      </c>
      <c r="AD38" s="2" t="s">
        <v>168</v>
      </c>
      <c r="AE38" s="2" t="s">
        <v>174</v>
      </c>
      <c r="AF38" s="2" t="s">
        <v>169</v>
      </c>
      <c r="AG38" s="2" t="s">
        <v>168</v>
      </c>
      <c r="AH38" s="2" t="s">
        <v>169</v>
      </c>
      <c r="AI38" s="2" t="s">
        <v>227</v>
      </c>
      <c r="AJ38" s="2" t="s">
        <v>168</v>
      </c>
      <c r="AK38" s="2" t="s">
        <v>168</v>
      </c>
      <c r="AL38" s="2" t="s">
        <v>169</v>
      </c>
      <c r="AM38" s="2" t="s">
        <v>175</v>
      </c>
      <c r="AN38" s="2" t="s">
        <v>283</v>
      </c>
      <c r="AO38" s="19">
        <v>1346819</v>
      </c>
      <c r="AP38" s="2" t="s">
        <v>284</v>
      </c>
      <c r="AQ38" s="2" t="s">
        <v>285</v>
      </c>
      <c r="AR38" s="20" t="s">
        <v>286</v>
      </c>
    </row>
    <row r="39" spans="1:44" x14ac:dyDescent="0.2">
      <c r="A39" s="3">
        <f t="shared" si="0"/>
        <v>31</v>
      </c>
      <c r="B39" s="2" t="s">
        <v>52</v>
      </c>
      <c r="C39" s="2" t="s">
        <v>79</v>
      </c>
      <c r="D39" s="19" t="s">
        <v>82</v>
      </c>
      <c r="E39" s="2" t="s">
        <v>83</v>
      </c>
      <c r="F39" s="14">
        <v>50890000</v>
      </c>
      <c r="G39" s="14">
        <v>-1800000</v>
      </c>
      <c r="H39" s="14">
        <v>-500000</v>
      </c>
      <c r="I39" s="14">
        <v>-500000</v>
      </c>
      <c r="J39" s="14">
        <v>-1000000</v>
      </c>
      <c r="K39" s="14">
        <v>-500000</v>
      </c>
      <c r="L39" s="14">
        <v>-600000</v>
      </c>
      <c r="M39" s="14">
        <v>-1100000</v>
      </c>
      <c r="N39" s="14">
        <v>48090000</v>
      </c>
      <c r="O39" s="14">
        <v>46990000</v>
      </c>
      <c r="P39" s="16" t="s">
        <v>282</v>
      </c>
      <c r="Q39" s="2" t="s">
        <v>167</v>
      </c>
      <c r="R39" s="2" t="s">
        <v>169</v>
      </c>
      <c r="S39" s="2" t="s">
        <v>186</v>
      </c>
      <c r="T39" s="2" t="s">
        <v>187</v>
      </c>
      <c r="U39" s="2" t="s">
        <v>169</v>
      </c>
      <c r="V39" s="2" t="s">
        <v>171</v>
      </c>
      <c r="W39" s="2" t="s">
        <v>169</v>
      </c>
      <c r="X39" s="2" t="s">
        <v>222</v>
      </c>
      <c r="Y39" s="2" t="s">
        <v>169</v>
      </c>
      <c r="Z39" s="2" t="s">
        <v>169</v>
      </c>
      <c r="AA39" s="2" t="s">
        <v>169</v>
      </c>
      <c r="AB39" s="2" t="s">
        <v>169</v>
      </c>
      <c r="AC39" s="2" t="s">
        <v>169</v>
      </c>
      <c r="AD39" s="2" t="s">
        <v>168</v>
      </c>
      <c r="AE39" s="2" t="s">
        <v>174</v>
      </c>
      <c r="AF39" s="2" t="s">
        <v>202</v>
      </c>
      <c r="AG39" s="2" t="s">
        <v>168</v>
      </c>
      <c r="AH39" s="2" t="s">
        <v>169</v>
      </c>
      <c r="AI39" s="2" t="s">
        <v>287</v>
      </c>
      <c r="AJ39" s="2" t="s">
        <v>169</v>
      </c>
      <c r="AK39" s="2" t="s">
        <v>168</v>
      </c>
      <c r="AL39" s="2" t="s">
        <v>169</v>
      </c>
      <c r="AM39" s="2" t="s">
        <v>175</v>
      </c>
      <c r="AN39" s="2" t="s">
        <v>283</v>
      </c>
      <c r="AO39" s="19">
        <v>1523995</v>
      </c>
      <c r="AP39" s="2" t="s">
        <v>288</v>
      </c>
      <c r="AQ39" s="2" t="s">
        <v>289</v>
      </c>
      <c r="AR39" s="20" t="s">
        <v>286</v>
      </c>
    </row>
    <row r="40" spans="1:44" x14ac:dyDescent="0.2">
      <c r="A40" s="3">
        <f t="shared" si="0"/>
        <v>32</v>
      </c>
      <c r="B40" s="2" t="s">
        <v>52</v>
      </c>
      <c r="C40" s="2" t="s">
        <v>79</v>
      </c>
      <c r="D40" s="19" t="s">
        <v>84</v>
      </c>
      <c r="E40" t="s">
        <v>85</v>
      </c>
      <c r="F40" s="14">
        <v>50890000</v>
      </c>
      <c r="G40" s="14">
        <v>-1800000</v>
      </c>
      <c r="H40" s="14">
        <v>-500000</v>
      </c>
      <c r="I40" s="14">
        <v>-500000</v>
      </c>
      <c r="J40" s="14">
        <v>-1000000</v>
      </c>
      <c r="K40" s="14">
        <v>-500000</v>
      </c>
      <c r="L40" s="14">
        <v>-600000</v>
      </c>
      <c r="M40" s="14">
        <v>-1100000</v>
      </c>
      <c r="N40" s="14">
        <v>48090000</v>
      </c>
      <c r="O40" s="14">
        <v>46990000</v>
      </c>
      <c r="P40" s="16" t="s">
        <v>282</v>
      </c>
      <c r="Q40" s="2" t="s">
        <v>167</v>
      </c>
      <c r="R40" s="2" t="s">
        <v>169</v>
      </c>
      <c r="S40" s="2" t="s">
        <v>186</v>
      </c>
      <c r="T40" s="2" t="s">
        <v>187</v>
      </c>
      <c r="U40" s="2" t="s">
        <v>169</v>
      </c>
      <c r="V40" s="2" t="s">
        <v>171</v>
      </c>
      <c r="W40" s="2" t="s">
        <v>169</v>
      </c>
      <c r="X40" s="2" t="s">
        <v>222</v>
      </c>
      <c r="Y40" s="2" t="s">
        <v>169</v>
      </c>
      <c r="Z40" s="2" t="s">
        <v>169</v>
      </c>
      <c r="AA40" s="2" t="s">
        <v>169</v>
      </c>
      <c r="AB40" s="2" t="s">
        <v>169</v>
      </c>
      <c r="AC40" s="2" t="s">
        <v>169</v>
      </c>
      <c r="AD40" s="2" t="s">
        <v>168</v>
      </c>
      <c r="AE40" s="2" t="s">
        <v>174</v>
      </c>
      <c r="AF40" s="2" t="s">
        <v>202</v>
      </c>
      <c r="AG40" s="2" t="s">
        <v>168</v>
      </c>
      <c r="AH40" s="2" t="s">
        <v>169</v>
      </c>
      <c r="AI40" s="2" t="s">
        <v>287</v>
      </c>
      <c r="AJ40" s="2" t="s">
        <v>169</v>
      </c>
      <c r="AK40" s="2" t="s">
        <v>168</v>
      </c>
      <c r="AL40" s="2" t="s">
        <v>169</v>
      </c>
      <c r="AM40" s="2" t="s">
        <v>175</v>
      </c>
      <c r="AN40" s="2" t="s">
        <v>283</v>
      </c>
      <c r="AO40" s="19">
        <v>1828935</v>
      </c>
      <c r="AP40" s="2" t="s">
        <v>288</v>
      </c>
      <c r="AQ40" s="2" t="s">
        <v>290</v>
      </c>
      <c r="AR40" s="20" t="s">
        <v>291</v>
      </c>
    </row>
    <row r="41" spans="1:44" x14ac:dyDescent="0.2">
      <c r="A41" s="3">
        <f t="shared" si="0"/>
        <v>33</v>
      </c>
      <c r="B41" s="2" t="s">
        <v>52</v>
      </c>
      <c r="C41" s="2" t="s">
        <v>79</v>
      </c>
      <c r="D41" s="19" t="s">
        <v>86</v>
      </c>
      <c r="E41" s="2" t="s">
        <v>87</v>
      </c>
      <c r="F41" s="14">
        <v>51090000</v>
      </c>
      <c r="G41" s="14">
        <v>-1500000</v>
      </c>
      <c r="H41" s="14">
        <v>-500000</v>
      </c>
      <c r="I41" s="14">
        <v>-500000</v>
      </c>
      <c r="J41" s="14">
        <v>-1000000</v>
      </c>
      <c r="K41" s="14">
        <v>-500000</v>
      </c>
      <c r="L41" s="14">
        <v>-600000</v>
      </c>
      <c r="M41" s="14">
        <v>-1100000</v>
      </c>
      <c r="N41" s="14">
        <v>48590000</v>
      </c>
      <c r="O41" s="14">
        <v>47490000</v>
      </c>
      <c r="P41" s="16" t="s">
        <v>292</v>
      </c>
      <c r="Q41" s="2" t="s">
        <v>167</v>
      </c>
      <c r="R41" s="2" t="s">
        <v>169</v>
      </c>
      <c r="S41" s="2" t="s">
        <v>186</v>
      </c>
      <c r="T41" s="2" t="s">
        <v>187</v>
      </c>
      <c r="U41" s="2" t="s">
        <v>169</v>
      </c>
      <c r="V41" s="2" t="s">
        <v>171</v>
      </c>
      <c r="W41" s="2" t="s">
        <v>169</v>
      </c>
      <c r="X41" s="2" t="s">
        <v>222</v>
      </c>
      <c r="Y41" s="2" t="s">
        <v>169</v>
      </c>
      <c r="Z41" s="2" t="s">
        <v>169</v>
      </c>
      <c r="AA41" s="2" t="s">
        <v>169</v>
      </c>
      <c r="AB41" s="2" t="s">
        <v>169</v>
      </c>
      <c r="AC41" s="2" t="s">
        <v>169</v>
      </c>
      <c r="AD41" s="2" t="s">
        <v>168</v>
      </c>
      <c r="AE41" s="2" t="s">
        <v>174</v>
      </c>
      <c r="AF41" s="2" t="s">
        <v>202</v>
      </c>
      <c r="AG41" s="2" t="s">
        <v>168</v>
      </c>
      <c r="AH41" s="2" t="s">
        <v>169</v>
      </c>
      <c r="AI41" s="2" t="s">
        <v>287</v>
      </c>
      <c r="AJ41" s="2" t="s">
        <v>169</v>
      </c>
      <c r="AK41" s="2" t="s">
        <v>168</v>
      </c>
      <c r="AL41" s="2" t="s">
        <v>169</v>
      </c>
      <c r="AM41" s="2" t="s">
        <v>175</v>
      </c>
      <c r="AN41" s="2" t="s">
        <v>283</v>
      </c>
      <c r="AO41" s="19">
        <v>1539524</v>
      </c>
      <c r="AP41" s="2" t="s">
        <v>288</v>
      </c>
      <c r="AQ41" s="2" t="s">
        <v>293</v>
      </c>
      <c r="AR41" s="20" t="s">
        <v>286</v>
      </c>
    </row>
    <row r="42" spans="1:44" x14ac:dyDescent="0.2">
      <c r="A42" s="3">
        <f t="shared" si="0"/>
        <v>34</v>
      </c>
      <c r="B42" s="2" t="s">
        <v>52</v>
      </c>
      <c r="C42" s="2" t="s">
        <v>79</v>
      </c>
      <c r="D42" s="19" t="s">
        <v>88</v>
      </c>
      <c r="E42" s="2" t="s">
        <v>89</v>
      </c>
      <c r="F42" s="14">
        <v>42890000</v>
      </c>
      <c r="G42" s="14">
        <v>-1800000</v>
      </c>
      <c r="H42" s="14">
        <v>-650000</v>
      </c>
      <c r="I42" s="14">
        <v>-650000</v>
      </c>
      <c r="J42" s="14">
        <v>-1300000</v>
      </c>
      <c r="K42" s="14">
        <v>-650000</v>
      </c>
      <c r="L42" s="14">
        <v>-650000</v>
      </c>
      <c r="M42" s="14">
        <v>-1300000</v>
      </c>
      <c r="N42" s="14">
        <v>39790000</v>
      </c>
      <c r="O42" s="14">
        <v>38490000</v>
      </c>
      <c r="P42" s="16" t="s">
        <v>282</v>
      </c>
      <c r="Q42" s="2" t="s">
        <v>294</v>
      </c>
      <c r="R42" s="2" t="s">
        <v>168</v>
      </c>
      <c r="S42" s="2" t="s">
        <v>186</v>
      </c>
      <c r="T42" s="2" t="s">
        <v>187</v>
      </c>
      <c r="U42" s="2" t="s">
        <v>169</v>
      </c>
      <c r="V42" s="2" t="s">
        <v>169</v>
      </c>
      <c r="W42" s="2" t="s">
        <v>169</v>
      </c>
      <c r="X42" s="2" t="s">
        <v>201</v>
      </c>
      <c r="Y42" s="2" t="s">
        <v>169</v>
      </c>
      <c r="Z42" s="2" t="s">
        <v>169</v>
      </c>
      <c r="AA42" s="2" t="s">
        <v>169</v>
      </c>
      <c r="AB42" s="2" t="s">
        <v>168</v>
      </c>
      <c r="AC42" s="2" t="s">
        <v>168</v>
      </c>
      <c r="AD42" s="2" t="s">
        <v>168</v>
      </c>
      <c r="AE42" s="2" t="s">
        <v>174</v>
      </c>
      <c r="AF42" s="2" t="s">
        <v>169</v>
      </c>
      <c r="AG42" s="2" t="s">
        <v>168</v>
      </c>
      <c r="AH42" s="2" t="s">
        <v>169</v>
      </c>
      <c r="AI42" s="2" t="s">
        <v>227</v>
      </c>
      <c r="AJ42" s="2" t="s">
        <v>168</v>
      </c>
      <c r="AK42" s="2" t="s">
        <v>168</v>
      </c>
      <c r="AL42" s="2" t="s">
        <v>169</v>
      </c>
      <c r="AM42" s="2" t="s">
        <v>175</v>
      </c>
      <c r="AN42" s="2" t="s">
        <v>295</v>
      </c>
      <c r="AO42" s="19">
        <v>1581877</v>
      </c>
      <c r="AP42" s="2" t="s">
        <v>296</v>
      </c>
      <c r="AQ42" s="2" t="s">
        <v>297</v>
      </c>
      <c r="AR42" s="20" t="s">
        <v>298</v>
      </c>
    </row>
    <row r="43" spans="1:44" x14ac:dyDescent="0.2">
      <c r="A43" s="3">
        <f t="shared" si="0"/>
        <v>35</v>
      </c>
      <c r="B43" s="2" t="s">
        <v>52</v>
      </c>
      <c r="C43" s="2" t="s">
        <v>90</v>
      </c>
      <c r="D43" s="19" t="s">
        <v>91</v>
      </c>
      <c r="E43" s="2" t="s">
        <v>92</v>
      </c>
      <c r="F43" s="14">
        <v>52990000</v>
      </c>
      <c r="G43" s="14">
        <v>0</v>
      </c>
      <c r="H43" s="14">
        <v>0</v>
      </c>
      <c r="I43" s="14">
        <v>-500000</v>
      </c>
      <c r="J43" s="14">
        <v>-500000</v>
      </c>
      <c r="K43" s="14">
        <v>-1000000</v>
      </c>
      <c r="L43" s="14">
        <v>-500000</v>
      </c>
      <c r="M43" s="14">
        <v>-1500000</v>
      </c>
      <c r="N43" s="14">
        <v>52490000</v>
      </c>
      <c r="O43" s="14">
        <v>50990000</v>
      </c>
      <c r="P43" s="16" t="s">
        <v>292</v>
      </c>
      <c r="Q43" s="2" t="s">
        <v>167</v>
      </c>
      <c r="R43" s="2" t="s">
        <v>169</v>
      </c>
      <c r="S43" s="2" t="s">
        <v>226</v>
      </c>
      <c r="T43" s="2" t="s">
        <v>170</v>
      </c>
      <c r="U43" s="2" t="s">
        <v>169</v>
      </c>
      <c r="V43" s="2" t="s">
        <v>169</v>
      </c>
      <c r="W43" s="2" t="s">
        <v>169</v>
      </c>
      <c r="X43" s="2" t="s">
        <v>222</v>
      </c>
      <c r="Y43" s="2" t="s">
        <v>169</v>
      </c>
      <c r="Z43" s="2" t="s">
        <v>169</v>
      </c>
      <c r="AA43" s="2" t="s">
        <v>169</v>
      </c>
      <c r="AB43" s="2" t="s">
        <v>169</v>
      </c>
      <c r="AC43" s="2" t="s">
        <v>168</v>
      </c>
      <c r="AD43" s="2" t="s">
        <v>169</v>
      </c>
      <c r="AE43" s="2" t="s">
        <v>190</v>
      </c>
      <c r="AF43" s="2" t="s">
        <v>169</v>
      </c>
      <c r="AG43" s="2" t="s">
        <v>168</v>
      </c>
      <c r="AH43" s="2" t="s">
        <v>168</v>
      </c>
      <c r="AI43" s="2" t="s">
        <v>169</v>
      </c>
      <c r="AJ43" s="2" t="s">
        <v>169</v>
      </c>
      <c r="AK43" s="2" t="s">
        <v>168</v>
      </c>
      <c r="AL43" s="2" t="s">
        <v>169</v>
      </c>
      <c r="AM43" s="2" t="s">
        <v>175</v>
      </c>
      <c r="AN43" s="2" t="s">
        <v>299</v>
      </c>
      <c r="AO43" s="19">
        <v>1256466</v>
      </c>
      <c r="AP43" s="2" t="s">
        <v>300</v>
      </c>
      <c r="AQ43" s="2" t="s">
        <v>301</v>
      </c>
      <c r="AR43" s="20" t="s">
        <v>302</v>
      </c>
    </row>
    <row r="44" spans="1:44" x14ac:dyDescent="0.2">
      <c r="A44" s="3">
        <f t="shared" si="0"/>
        <v>36</v>
      </c>
      <c r="B44" s="2" t="s">
        <v>52</v>
      </c>
      <c r="C44" s="2" t="s">
        <v>90</v>
      </c>
      <c r="D44" s="19" t="s">
        <v>93</v>
      </c>
      <c r="E44" s="2" t="s">
        <v>94</v>
      </c>
      <c r="F44" s="14">
        <v>52990000</v>
      </c>
      <c r="G44" s="14">
        <v>-1000000</v>
      </c>
      <c r="H44" s="14">
        <v>0</v>
      </c>
      <c r="I44" s="14">
        <v>-500000</v>
      </c>
      <c r="J44" s="14">
        <v>-500000</v>
      </c>
      <c r="K44" s="14">
        <v>-1000000</v>
      </c>
      <c r="L44" s="14">
        <v>-500000</v>
      </c>
      <c r="M44" s="14">
        <v>-1500000</v>
      </c>
      <c r="N44" s="14">
        <v>51490000</v>
      </c>
      <c r="O44" s="14">
        <v>49990000</v>
      </c>
      <c r="P44" s="16" t="s">
        <v>292</v>
      </c>
      <c r="Q44" s="2" t="s">
        <v>167</v>
      </c>
      <c r="R44" s="2" t="s">
        <v>169</v>
      </c>
      <c r="S44" s="2" t="s">
        <v>226</v>
      </c>
      <c r="T44" s="2" t="s">
        <v>170</v>
      </c>
      <c r="U44" s="2" t="s">
        <v>169</v>
      </c>
      <c r="V44" s="2" t="s">
        <v>169</v>
      </c>
      <c r="W44" s="2" t="s">
        <v>169</v>
      </c>
      <c r="X44" s="2" t="s">
        <v>222</v>
      </c>
      <c r="Y44" s="2" t="s">
        <v>169</v>
      </c>
      <c r="Z44" s="2" t="s">
        <v>169</v>
      </c>
      <c r="AA44" s="2" t="s">
        <v>169</v>
      </c>
      <c r="AB44" s="2" t="s">
        <v>169</v>
      </c>
      <c r="AC44" s="2" t="s">
        <v>168</v>
      </c>
      <c r="AD44" s="2" t="s">
        <v>169</v>
      </c>
      <c r="AE44" s="2" t="s">
        <v>190</v>
      </c>
      <c r="AF44" s="2" t="s">
        <v>169</v>
      </c>
      <c r="AG44" s="2" t="s">
        <v>168</v>
      </c>
      <c r="AH44" s="2" t="s">
        <v>169</v>
      </c>
      <c r="AI44" s="2" t="s">
        <v>169</v>
      </c>
      <c r="AJ44" s="2" t="s">
        <v>169</v>
      </c>
      <c r="AK44" s="2" t="s">
        <v>168</v>
      </c>
      <c r="AL44" s="2" t="s">
        <v>169</v>
      </c>
      <c r="AM44" s="2" t="s">
        <v>175</v>
      </c>
      <c r="AN44" s="2" t="s">
        <v>299</v>
      </c>
      <c r="AO44" s="19">
        <v>1233172</v>
      </c>
      <c r="AP44" s="2" t="s">
        <v>300</v>
      </c>
      <c r="AQ44" s="2" t="s">
        <v>303</v>
      </c>
      <c r="AR44" s="20" t="s">
        <v>304</v>
      </c>
    </row>
    <row r="45" spans="1:44" x14ac:dyDescent="0.2">
      <c r="A45" s="3">
        <f t="shared" si="0"/>
        <v>37</v>
      </c>
      <c r="B45" s="2" t="s">
        <v>52</v>
      </c>
      <c r="C45" s="2" t="s">
        <v>90</v>
      </c>
      <c r="D45" s="19" t="s">
        <v>95</v>
      </c>
      <c r="E45" s="2" t="s">
        <v>96</v>
      </c>
      <c r="F45" s="14">
        <v>58990000</v>
      </c>
      <c r="G45" s="14">
        <v>-1000000</v>
      </c>
      <c r="H45" s="14">
        <v>0</v>
      </c>
      <c r="I45" s="14">
        <v>-500000</v>
      </c>
      <c r="J45" s="14">
        <v>-500000</v>
      </c>
      <c r="K45" s="14">
        <v>-1000000</v>
      </c>
      <c r="L45" s="14">
        <v>-500000</v>
      </c>
      <c r="M45" s="14">
        <v>-1500000</v>
      </c>
      <c r="N45" s="14">
        <v>57490000</v>
      </c>
      <c r="O45" s="14">
        <v>55990000</v>
      </c>
      <c r="P45" s="16" t="s">
        <v>292</v>
      </c>
      <c r="Q45" s="2" t="s">
        <v>167</v>
      </c>
      <c r="R45" s="2" t="s">
        <v>169</v>
      </c>
      <c r="S45" s="2" t="s">
        <v>226</v>
      </c>
      <c r="T45" s="2" t="s">
        <v>170</v>
      </c>
      <c r="U45" s="2" t="s">
        <v>169</v>
      </c>
      <c r="V45" s="2" t="s">
        <v>188</v>
      </c>
      <c r="W45" s="2" t="s">
        <v>169</v>
      </c>
      <c r="X45" s="2" t="s">
        <v>172</v>
      </c>
      <c r="Y45" s="2" t="s">
        <v>169</v>
      </c>
      <c r="Z45" s="2" t="s">
        <v>169</v>
      </c>
      <c r="AA45" s="2" t="s">
        <v>169</v>
      </c>
      <c r="AB45" s="2" t="s">
        <v>169</v>
      </c>
      <c r="AC45" s="2" t="s">
        <v>169</v>
      </c>
      <c r="AD45" s="2" t="s">
        <v>169</v>
      </c>
      <c r="AE45" s="2" t="s">
        <v>174</v>
      </c>
      <c r="AF45" s="2" t="s">
        <v>169</v>
      </c>
      <c r="AG45" s="2" t="s">
        <v>169</v>
      </c>
      <c r="AH45" s="2" t="s">
        <v>169</v>
      </c>
      <c r="AI45" s="2" t="s">
        <v>169</v>
      </c>
      <c r="AJ45" s="2" t="s">
        <v>169</v>
      </c>
      <c r="AK45" s="2" t="s">
        <v>168</v>
      </c>
      <c r="AL45" s="2" t="s">
        <v>169</v>
      </c>
      <c r="AM45" s="2" t="s">
        <v>175</v>
      </c>
      <c r="AN45" s="2" t="s">
        <v>299</v>
      </c>
      <c r="AO45" s="19">
        <v>1375054</v>
      </c>
      <c r="AP45" s="2" t="s">
        <v>305</v>
      </c>
      <c r="AQ45" s="2" t="s">
        <v>306</v>
      </c>
      <c r="AR45" s="20" t="s">
        <v>304</v>
      </c>
    </row>
    <row r="46" spans="1:44" s="15" customFormat="1" x14ac:dyDescent="0.2">
      <c r="A46" s="3">
        <f t="shared" si="0"/>
        <v>38</v>
      </c>
      <c r="B46" s="2" t="s">
        <v>52</v>
      </c>
      <c r="C46" s="2" t="s">
        <v>97</v>
      </c>
      <c r="D46" s="19" t="s">
        <v>98</v>
      </c>
      <c r="E46" s="2" t="s">
        <v>99</v>
      </c>
      <c r="F46" s="14">
        <v>73990000</v>
      </c>
      <c r="G46" s="14">
        <v>-3000000</v>
      </c>
      <c r="H46" s="14">
        <v>0</v>
      </c>
      <c r="I46" s="14">
        <v>-500000</v>
      </c>
      <c r="J46" s="14">
        <v>-500000</v>
      </c>
      <c r="K46" s="14">
        <v>0</v>
      </c>
      <c r="L46" s="14">
        <v>-500000</v>
      </c>
      <c r="M46" s="14">
        <v>-500000</v>
      </c>
      <c r="N46" s="14">
        <v>70490000</v>
      </c>
      <c r="O46" s="14">
        <v>69990000</v>
      </c>
      <c r="P46" s="16" t="s">
        <v>282</v>
      </c>
      <c r="Q46" s="2" t="s">
        <v>167</v>
      </c>
      <c r="R46" s="2" t="s">
        <v>169</v>
      </c>
      <c r="S46" s="2" t="s">
        <v>169</v>
      </c>
      <c r="T46" s="2" t="s">
        <v>170</v>
      </c>
      <c r="U46" s="2" t="s">
        <v>169</v>
      </c>
      <c r="V46" s="2" t="s">
        <v>171</v>
      </c>
      <c r="W46" s="2" t="s">
        <v>169</v>
      </c>
      <c r="X46" s="2" t="s">
        <v>172</v>
      </c>
      <c r="Y46" s="2" t="s">
        <v>169</v>
      </c>
      <c r="Z46" s="2" t="s">
        <v>169</v>
      </c>
      <c r="AA46" s="2" t="s">
        <v>169</v>
      </c>
      <c r="AB46" s="2" t="s">
        <v>169</v>
      </c>
      <c r="AC46" s="2" t="s">
        <v>169</v>
      </c>
      <c r="AD46" s="2" t="s">
        <v>168</v>
      </c>
      <c r="AE46" s="2" t="s">
        <v>174</v>
      </c>
      <c r="AF46" s="2" t="s">
        <v>202</v>
      </c>
      <c r="AG46" s="2" t="s">
        <v>169</v>
      </c>
      <c r="AH46" s="2" t="s">
        <v>169</v>
      </c>
      <c r="AI46" s="2" t="s">
        <v>307</v>
      </c>
      <c r="AJ46" s="2" t="s">
        <v>169</v>
      </c>
      <c r="AK46" s="2" t="s">
        <v>168</v>
      </c>
      <c r="AL46" s="2" t="s">
        <v>169</v>
      </c>
      <c r="AM46" s="2" t="s">
        <v>175</v>
      </c>
      <c r="AN46" s="2" t="s">
        <v>308</v>
      </c>
      <c r="AO46" s="19">
        <v>1763994</v>
      </c>
      <c r="AP46" s="2" t="s">
        <v>309</v>
      </c>
      <c r="AQ46" s="2" t="s">
        <v>310</v>
      </c>
      <c r="AR46" s="20" t="s">
        <v>311</v>
      </c>
    </row>
    <row r="47" spans="1:44" s="15" customFormat="1" x14ac:dyDescent="0.2">
      <c r="A47" s="3">
        <f t="shared" si="0"/>
        <v>39</v>
      </c>
      <c r="B47" s="2" t="s">
        <v>52</v>
      </c>
      <c r="C47" s="2" t="s">
        <v>97</v>
      </c>
      <c r="D47" s="19" t="s">
        <v>100</v>
      </c>
      <c r="E47" s="2" t="s">
        <v>101</v>
      </c>
      <c r="F47" s="14">
        <v>73990000</v>
      </c>
      <c r="G47" s="14">
        <v>-3000000</v>
      </c>
      <c r="H47" s="14">
        <v>0</v>
      </c>
      <c r="I47" s="14">
        <v>-500000</v>
      </c>
      <c r="J47" s="14">
        <v>-500000</v>
      </c>
      <c r="K47" s="14">
        <v>0</v>
      </c>
      <c r="L47" s="14">
        <v>-500000</v>
      </c>
      <c r="M47" s="14">
        <v>-500000</v>
      </c>
      <c r="N47" s="14">
        <v>70490000</v>
      </c>
      <c r="O47" s="14">
        <v>69990000</v>
      </c>
      <c r="P47" s="16" t="s">
        <v>282</v>
      </c>
      <c r="Q47" s="2" t="s">
        <v>167</v>
      </c>
      <c r="R47" s="2" t="s">
        <v>169</v>
      </c>
      <c r="S47" s="2" t="s">
        <v>169</v>
      </c>
      <c r="T47" s="2" t="s">
        <v>170</v>
      </c>
      <c r="U47" s="2" t="s">
        <v>169</v>
      </c>
      <c r="V47" s="2" t="s">
        <v>171</v>
      </c>
      <c r="W47" s="2" t="s">
        <v>169</v>
      </c>
      <c r="X47" s="2" t="s">
        <v>172</v>
      </c>
      <c r="Y47" s="2" t="s">
        <v>169</v>
      </c>
      <c r="Z47" s="2" t="s">
        <v>169</v>
      </c>
      <c r="AA47" s="2" t="s">
        <v>169</v>
      </c>
      <c r="AB47" s="2" t="s">
        <v>169</v>
      </c>
      <c r="AC47" s="2" t="s">
        <v>169</v>
      </c>
      <c r="AD47" s="2" t="s">
        <v>168</v>
      </c>
      <c r="AE47" s="2" t="s">
        <v>174</v>
      </c>
      <c r="AF47" s="2" t="s">
        <v>202</v>
      </c>
      <c r="AG47" s="2" t="s">
        <v>169</v>
      </c>
      <c r="AH47" s="2" t="s">
        <v>169</v>
      </c>
      <c r="AI47" s="2" t="s">
        <v>307</v>
      </c>
      <c r="AJ47" s="2" t="s">
        <v>169</v>
      </c>
      <c r="AK47" s="2" t="s">
        <v>168</v>
      </c>
      <c r="AL47" s="2" t="s">
        <v>169</v>
      </c>
      <c r="AM47" s="2" t="s">
        <v>175</v>
      </c>
      <c r="AN47" s="2" t="s">
        <v>308</v>
      </c>
      <c r="AO47" s="19">
        <v>1763994</v>
      </c>
      <c r="AP47" s="2" t="s">
        <v>309</v>
      </c>
      <c r="AQ47" s="2" t="s">
        <v>312</v>
      </c>
      <c r="AR47" s="20" t="s">
        <v>311</v>
      </c>
    </row>
    <row r="48" spans="1:44" s="15" customFormat="1" x14ac:dyDescent="0.2">
      <c r="A48" s="3">
        <f t="shared" si="0"/>
        <v>40</v>
      </c>
      <c r="B48" s="2" t="s">
        <v>52</v>
      </c>
      <c r="C48" s="2" t="s">
        <v>97</v>
      </c>
      <c r="D48" s="2" t="s">
        <v>102</v>
      </c>
      <c r="E48" s="2" t="s">
        <v>102</v>
      </c>
      <c r="F48" s="17">
        <v>64990000</v>
      </c>
      <c r="G48" s="14">
        <v>-3500000</v>
      </c>
      <c r="H48" s="14">
        <v>0</v>
      </c>
      <c r="I48" s="14">
        <v>-500000</v>
      </c>
      <c r="J48" s="14">
        <v>-500000</v>
      </c>
      <c r="K48" s="14">
        <v>-500000</v>
      </c>
      <c r="L48" s="14">
        <v>-500000</v>
      </c>
      <c r="M48" s="14">
        <v>-1000000</v>
      </c>
      <c r="N48" s="14">
        <v>60990000</v>
      </c>
      <c r="O48" s="14">
        <v>59990000</v>
      </c>
      <c r="P48" s="16" t="s">
        <v>282</v>
      </c>
      <c r="Q48" s="2" t="s">
        <v>167</v>
      </c>
      <c r="R48" s="2" t="s">
        <v>169</v>
      </c>
      <c r="S48" s="2" t="s">
        <v>169</v>
      </c>
      <c r="T48" s="2" t="s">
        <v>170</v>
      </c>
      <c r="U48" s="2" t="s">
        <v>169</v>
      </c>
      <c r="V48" s="2" t="s">
        <v>171</v>
      </c>
      <c r="W48" s="2" t="s">
        <v>169</v>
      </c>
      <c r="X48" s="2" t="s">
        <v>222</v>
      </c>
      <c r="Y48" s="2" t="s">
        <v>169</v>
      </c>
      <c r="Z48" s="2" t="s">
        <v>169</v>
      </c>
      <c r="AA48" s="2" t="s">
        <v>169</v>
      </c>
      <c r="AB48" s="2" t="s">
        <v>169</v>
      </c>
      <c r="AC48" s="2" t="s">
        <v>173</v>
      </c>
      <c r="AD48" s="2" t="s">
        <v>168</v>
      </c>
      <c r="AE48" s="2" t="s">
        <v>174</v>
      </c>
      <c r="AF48" s="2" t="s">
        <v>202</v>
      </c>
      <c r="AG48" s="2" t="s">
        <v>168</v>
      </c>
      <c r="AH48" s="2" t="s">
        <v>169</v>
      </c>
      <c r="AI48" s="2" t="s">
        <v>307</v>
      </c>
      <c r="AJ48" s="2" t="s">
        <v>169</v>
      </c>
      <c r="AK48" s="2" t="s">
        <v>168</v>
      </c>
      <c r="AL48" s="2" t="s">
        <v>169</v>
      </c>
      <c r="AM48" s="2" t="s">
        <v>175</v>
      </c>
      <c r="AN48" t="s">
        <v>308</v>
      </c>
      <c r="AO48" s="19">
        <v>1528230</v>
      </c>
      <c r="AP48" s="2" t="s">
        <v>102</v>
      </c>
      <c r="AQ48" s="2" t="s">
        <v>313</v>
      </c>
      <c r="AR48" s="20" t="s">
        <v>311</v>
      </c>
    </row>
    <row r="49" spans="1:44" x14ac:dyDescent="0.2">
      <c r="A49" s="3">
        <f t="shared" si="0"/>
        <v>41</v>
      </c>
      <c r="B49" s="2" t="s">
        <v>44</v>
      </c>
      <c r="C49" s="2" t="s">
        <v>103</v>
      </c>
      <c r="D49" s="19" t="s">
        <v>104</v>
      </c>
      <c r="E49" s="2" t="s">
        <v>105</v>
      </c>
      <c r="F49" s="14">
        <v>14990000</v>
      </c>
      <c r="G49" s="14">
        <v>-500000</v>
      </c>
      <c r="H49" s="14">
        <v>-300000</v>
      </c>
      <c r="I49" s="14">
        <v>-300000</v>
      </c>
      <c r="J49" s="14">
        <v>-600000</v>
      </c>
      <c r="K49" s="14">
        <v>-400000</v>
      </c>
      <c r="L49" s="14">
        <v>-400000</v>
      </c>
      <c r="M49" s="14">
        <v>-800000</v>
      </c>
      <c r="N49" s="14">
        <v>13890000</v>
      </c>
      <c r="O49" s="14">
        <v>13090000</v>
      </c>
      <c r="P49" s="16" t="s">
        <v>211</v>
      </c>
      <c r="Q49" s="2" t="s">
        <v>247</v>
      </c>
      <c r="R49" s="2" t="s">
        <v>168</v>
      </c>
      <c r="S49" s="2" t="s">
        <v>248</v>
      </c>
      <c r="T49" s="2" t="s">
        <v>207</v>
      </c>
      <c r="U49" s="2" t="s">
        <v>169</v>
      </c>
      <c r="V49" s="2" t="s">
        <v>169</v>
      </c>
      <c r="W49" s="2" t="s">
        <v>168</v>
      </c>
      <c r="X49" s="2" t="s">
        <v>257</v>
      </c>
      <c r="Y49" s="2" t="s">
        <v>169</v>
      </c>
      <c r="Z49" s="2" t="s">
        <v>169</v>
      </c>
      <c r="AA49" s="2" t="s">
        <v>169</v>
      </c>
      <c r="AB49" s="2" t="s">
        <v>168</v>
      </c>
      <c r="AC49" s="2" t="s">
        <v>168</v>
      </c>
      <c r="AD49" s="2" t="s">
        <v>168</v>
      </c>
      <c r="AE49" s="2" t="s">
        <v>190</v>
      </c>
      <c r="AF49" s="2" t="s">
        <v>168</v>
      </c>
      <c r="AG49" s="2" t="s">
        <v>168</v>
      </c>
      <c r="AH49" s="2" t="s">
        <v>168</v>
      </c>
      <c r="AI49" s="2" t="s">
        <v>169</v>
      </c>
      <c r="AJ49" s="2" t="s">
        <v>168</v>
      </c>
      <c r="AK49" s="2" t="s">
        <v>168</v>
      </c>
      <c r="AL49" s="2" t="s">
        <v>169</v>
      </c>
      <c r="AM49" s="2" t="s">
        <v>175</v>
      </c>
      <c r="AN49" s="2" t="s">
        <v>314</v>
      </c>
      <c r="AO49" s="19">
        <v>239293</v>
      </c>
      <c r="AP49" s="2" t="s">
        <v>315</v>
      </c>
      <c r="AQ49" s="2" t="s">
        <v>316</v>
      </c>
      <c r="AR49" s="20" t="s">
        <v>317</v>
      </c>
    </row>
    <row r="50" spans="1:44" x14ac:dyDescent="0.2">
      <c r="A50" s="3">
        <f t="shared" si="0"/>
        <v>42</v>
      </c>
      <c r="B50" s="2" t="s">
        <v>44</v>
      </c>
      <c r="C50" s="2" t="s">
        <v>103</v>
      </c>
      <c r="D50" s="19" t="s">
        <v>106</v>
      </c>
      <c r="E50" s="2" t="s">
        <v>106</v>
      </c>
      <c r="F50" s="14">
        <v>16490000</v>
      </c>
      <c r="G50" s="14">
        <v>-200000</v>
      </c>
      <c r="H50" s="14">
        <v>-100000</v>
      </c>
      <c r="I50" s="14">
        <v>-100000</v>
      </c>
      <c r="J50" s="14">
        <v>-200000</v>
      </c>
      <c r="K50" s="14">
        <v>-450000</v>
      </c>
      <c r="L50" s="14">
        <v>-450000</v>
      </c>
      <c r="M50" s="14">
        <v>-900000</v>
      </c>
      <c r="N50" s="14">
        <v>16090000</v>
      </c>
      <c r="O50" s="14">
        <v>15190000</v>
      </c>
      <c r="P50" s="16" t="s">
        <v>211</v>
      </c>
      <c r="Q50" s="2" t="s">
        <v>247</v>
      </c>
      <c r="R50" s="2" t="s">
        <v>168</v>
      </c>
      <c r="S50" s="2" t="s">
        <v>248</v>
      </c>
      <c r="T50" s="2" t="s">
        <v>207</v>
      </c>
      <c r="U50" s="2" t="s">
        <v>169</v>
      </c>
      <c r="V50" s="2" t="s">
        <v>169</v>
      </c>
      <c r="W50" s="2" t="s">
        <v>169</v>
      </c>
      <c r="X50" s="2" t="s">
        <v>189</v>
      </c>
      <c r="Y50" s="2" t="s">
        <v>169</v>
      </c>
      <c r="Z50" s="2" t="s">
        <v>169</v>
      </c>
      <c r="AA50" s="2" t="s">
        <v>169</v>
      </c>
      <c r="AB50" s="2" t="s">
        <v>169</v>
      </c>
      <c r="AC50" s="2" t="s">
        <v>168</v>
      </c>
      <c r="AD50" s="2" t="s">
        <v>168</v>
      </c>
      <c r="AE50" s="2" t="s">
        <v>190</v>
      </c>
      <c r="AF50" s="2" t="s">
        <v>168</v>
      </c>
      <c r="AG50" s="2" t="s">
        <v>168</v>
      </c>
      <c r="AH50" s="2" t="s">
        <v>168</v>
      </c>
      <c r="AI50" s="2" t="s">
        <v>169</v>
      </c>
      <c r="AJ50" s="2" t="s">
        <v>168</v>
      </c>
      <c r="AK50" s="2" t="s">
        <v>168</v>
      </c>
      <c r="AL50" s="2" t="s">
        <v>169</v>
      </c>
      <c r="AM50" s="2" t="s">
        <v>175</v>
      </c>
      <c r="AN50" s="2" t="s">
        <v>314</v>
      </c>
      <c r="AO50" s="19">
        <v>268940</v>
      </c>
      <c r="AP50" s="2" t="s">
        <v>318</v>
      </c>
      <c r="AQ50" s="2" t="s">
        <v>319</v>
      </c>
      <c r="AR50" s="20" t="s">
        <v>317</v>
      </c>
    </row>
    <row r="51" spans="1:44" x14ac:dyDescent="0.2">
      <c r="A51" s="3">
        <f t="shared" si="0"/>
        <v>43</v>
      </c>
      <c r="B51" s="2" t="s">
        <v>44</v>
      </c>
      <c r="C51" s="2" t="s">
        <v>103</v>
      </c>
      <c r="D51" s="19" t="s">
        <v>107</v>
      </c>
      <c r="E51" s="2" t="s">
        <v>108</v>
      </c>
      <c r="F51" s="14">
        <v>17490000</v>
      </c>
      <c r="G51" s="14">
        <v>0</v>
      </c>
      <c r="H51" s="14">
        <v>0</v>
      </c>
      <c r="I51" s="14">
        <v>0</v>
      </c>
      <c r="J51" s="14">
        <v>0</v>
      </c>
      <c r="K51" s="14">
        <v>-200000</v>
      </c>
      <c r="L51" s="14">
        <v>0</v>
      </c>
      <c r="M51" s="14">
        <v>-200000</v>
      </c>
      <c r="N51" s="14">
        <v>17490000</v>
      </c>
      <c r="O51" s="14">
        <v>17290000</v>
      </c>
      <c r="P51" s="16" t="s">
        <v>211</v>
      </c>
      <c r="Q51" s="2" t="s">
        <v>247</v>
      </c>
      <c r="R51" s="2" t="s">
        <v>168</v>
      </c>
      <c r="S51" s="2" t="s">
        <v>248</v>
      </c>
      <c r="T51" s="2" t="s">
        <v>207</v>
      </c>
      <c r="U51" s="2" t="s">
        <v>169</v>
      </c>
      <c r="V51" s="2" t="s">
        <v>169</v>
      </c>
      <c r="W51" s="2" t="s">
        <v>168</v>
      </c>
      <c r="X51" s="2" t="s">
        <v>257</v>
      </c>
      <c r="Y51" s="2" t="s">
        <v>169</v>
      </c>
      <c r="Z51" s="2" t="s">
        <v>169</v>
      </c>
      <c r="AA51" s="2" t="s">
        <v>169</v>
      </c>
      <c r="AB51" s="2" t="s">
        <v>168</v>
      </c>
      <c r="AC51" s="2" t="s">
        <v>168</v>
      </c>
      <c r="AD51" s="2" t="s">
        <v>168</v>
      </c>
      <c r="AE51" s="2" t="s">
        <v>190</v>
      </c>
      <c r="AF51" s="2" t="s">
        <v>168</v>
      </c>
      <c r="AG51" s="2" t="s">
        <v>168</v>
      </c>
      <c r="AH51" s="2" t="s">
        <v>168</v>
      </c>
      <c r="AI51" s="2" t="s">
        <v>169</v>
      </c>
      <c r="AJ51" s="2" t="s">
        <v>168</v>
      </c>
      <c r="AK51" s="2" t="s">
        <v>168</v>
      </c>
      <c r="AL51" s="2" t="s">
        <v>169</v>
      </c>
      <c r="AM51" s="2" t="s">
        <v>175</v>
      </c>
      <c r="AN51" s="2" t="s">
        <v>208</v>
      </c>
      <c r="AO51" s="19">
        <v>231529</v>
      </c>
      <c r="AP51" s="2" t="s">
        <v>320</v>
      </c>
      <c r="AQ51" s="2" t="s">
        <v>321</v>
      </c>
      <c r="AR51" s="20" t="s">
        <v>322</v>
      </c>
    </row>
    <row r="52" spans="1:44" x14ac:dyDescent="0.2">
      <c r="A52" s="3">
        <f t="shared" si="0"/>
        <v>44</v>
      </c>
      <c r="B52" s="2" t="s">
        <v>109</v>
      </c>
      <c r="C52" s="2" t="s">
        <v>110</v>
      </c>
      <c r="D52" s="19" t="s">
        <v>111</v>
      </c>
      <c r="E52" s="2" t="s">
        <v>112</v>
      </c>
      <c r="F52" s="14">
        <v>33990000</v>
      </c>
      <c r="G52" s="14">
        <v>0</v>
      </c>
      <c r="H52" s="14">
        <v>0</v>
      </c>
      <c r="I52" s="14">
        <v>-500000</v>
      </c>
      <c r="J52" s="14">
        <v>-500000</v>
      </c>
      <c r="K52" s="14">
        <v>-1000000</v>
      </c>
      <c r="L52" s="14">
        <v>-500000</v>
      </c>
      <c r="M52" s="14">
        <v>-1500000</v>
      </c>
      <c r="N52" s="14">
        <v>33490000</v>
      </c>
      <c r="O52" s="14">
        <v>31990000</v>
      </c>
      <c r="P52" s="16" t="s">
        <v>292</v>
      </c>
      <c r="Q52" s="2" t="s">
        <v>294</v>
      </c>
      <c r="R52" s="2" t="s">
        <v>168</v>
      </c>
      <c r="S52" s="2" t="s">
        <v>248</v>
      </c>
      <c r="T52" s="2" t="s">
        <v>187</v>
      </c>
      <c r="U52" s="2" t="s">
        <v>169</v>
      </c>
      <c r="V52" s="2" t="s">
        <v>169</v>
      </c>
      <c r="W52" s="2" t="s">
        <v>168</v>
      </c>
      <c r="X52" s="2" t="s">
        <v>201</v>
      </c>
      <c r="Y52" s="2" t="s">
        <v>169</v>
      </c>
      <c r="Z52" s="2" t="s">
        <v>169</v>
      </c>
      <c r="AA52" s="2" t="s">
        <v>169</v>
      </c>
      <c r="AB52" s="2" t="s">
        <v>168</v>
      </c>
      <c r="AC52" s="2" t="s">
        <v>168</v>
      </c>
      <c r="AD52" s="2" t="s">
        <v>168</v>
      </c>
      <c r="AE52" s="2" t="s">
        <v>168</v>
      </c>
      <c r="AF52" s="2" t="s">
        <v>169</v>
      </c>
      <c r="AG52" s="2" t="s">
        <v>168</v>
      </c>
      <c r="AH52" s="2" t="s">
        <v>168</v>
      </c>
      <c r="AI52" s="2" t="s">
        <v>227</v>
      </c>
      <c r="AJ52" s="2" t="s">
        <v>168</v>
      </c>
      <c r="AK52" s="2" t="s">
        <v>168</v>
      </c>
      <c r="AL52" s="2" t="s">
        <v>169</v>
      </c>
      <c r="AM52" s="2" t="s">
        <v>175</v>
      </c>
      <c r="AN52" s="2" t="s">
        <v>323</v>
      </c>
      <c r="AO52" s="19">
        <v>1613642</v>
      </c>
      <c r="AP52" s="2" t="s">
        <v>324</v>
      </c>
      <c r="AQ52" s="2" t="s">
        <v>325</v>
      </c>
      <c r="AR52" s="20" t="s">
        <v>326</v>
      </c>
    </row>
    <row r="53" spans="1:44" x14ac:dyDescent="0.2">
      <c r="A53" s="3">
        <f t="shared" si="0"/>
        <v>45</v>
      </c>
      <c r="B53" s="2" t="s">
        <v>109</v>
      </c>
      <c r="C53" s="2" t="s">
        <v>110</v>
      </c>
      <c r="D53" s="19" t="s">
        <v>113</v>
      </c>
      <c r="E53" s="2" t="s">
        <v>114</v>
      </c>
      <c r="F53" s="14">
        <v>33990000</v>
      </c>
      <c r="G53" s="14">
        <v>0</v>
      </c>
      <c r="H53" s="14">
        <v>0</v>
      </c>
      <c r="I53" s="14">
        <v>-500000</v>
      </c>
      <c r="J53" s="14">
        <v>-500000</v>
      </c>
      <c r="K53" s="14">
        <v>-1000000</v>
      </c>
      <c r="L53" s="14">
        <v>-500000</v>
      </c>
      <c r="M53" s="14">
        <v>-1500000</v>
      </c>
      <c r="N53" s="14">
        <v>33490000</v>
      </c>
      <c r="O53" s="14">
        <v>31990000</v>
      </c>
      <c r="P53" s="16" t="s">
        <v>292</v>
      </c>
      <c r="Q53" s="2" t="s">
        <v>294</v>
      </c>
      <c r="R53" s="2" t="s">
        <v>168</v>
      </c>
      <c r="S53" s="2" t="s">
        <v>248</v>
      </c>
      <c r="T53" s="2" t="s">
        <v>187</v>
      </c>
      <c r="U53" s="2" t="s">
        <v>169</v>
      </c>
      <c r="V53" s="2" t="s">
        <v>169</v>
      </c>
      <c r="W53" s="2" t="s">
        <v>168</v>
      </c>
      <c r="X53" s="2" t="s">
        <v>201</v>
      </c>
      <c r="Y53" s="2" t="s">
        <v>169</v>
      </c>
      <c r="Z53" s="2" t="s">
        <v>169</v>
      </c>
      <c r="AA53" s="2" t="s">
        <v>169</v>
      </c>
      <c r="AB53" s="2" t="s">
        <v>168</v>
      </c>
      <c r="AC53" s="2" t="s">
        <v>168</v>
      </c>
      <c r="AD53" s="2" t="s">
        <v>168</v>
      </c>
      <c r="AE53" s="2" t="s">
        <v>168</v>
      </c>
      <c r="AF53" s="2" t="s">
        <v>169</v>
      </c>
      <c r="AG53" s="2" t="s">
        <v>168</v>
      </c>
      <c r="AH53" s="2" t="s">
        <v>168</v>
      </c>
      <c r="AI53" s="2" t="s">
        <v>227</v>
      </c>
      <c r="AJ53" s="2" t="s">
        <v>168</v>
      </c>
      <c r="AK53" s="2" t="s">
        <v>168</v>
      </c>
      <c r="AL53" s="2" t="s">
        <v>169</v>
      </c>
      <c r="AM53" s="2" t="s">
        <v>175</v>
      </c>
      <c r="AN53" s="2" t="s">
        <v>323</v>
      </c>
      <c r="AO53" s="19">
        <v>1047526</v>
      </c>
      <c r="AP53" s="2" t="s">
        <v>324</v>
      </c>
      <c r="AQ53" s="2" t="s">
        <v>327</v>
      </c>
      <c r="AR53" s="20" t="s">
        <v>328</v>
      </c>
    </row>
    <row r="54" spans="1:44" x14ac:dyDescent="0.2">
      <c r="A54" s="3">
        <f t="shared" si="0"/>
        <v>46</v>
      </c>
      <c r="B54" s="2" t="s">
        <v>109</v>
      </c>
      <c r="C54" s="2" t="s">
        <v>110</v>
      </c>
      <c r="D54" s="19" t="s">
        <v>115</v>
      </c>
      <c r="E54" s="2" t="s">
        <v>116</v>
      </c>
      <c r="F54" s="14">
        <v>35790000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35790000</v>
      </c>
      <c r="O54" s="14">
        <v>35790000</v>
      </c>
      <c r="P54" s="16" t="s">
        <v>292</v>
      </c>
      <c r="Q54" s="2" t="s">
        <v>294</v>
      </c>
      <c r="R54" s="2" t="s">
        <v>168</v>
      </c>
      <c r="S54" s="2" t="s">
        <v>248</v>
      </c>
      <c r="T54" s="2" t="s">
        <v>187</v>
      </c>
      <c r="U54" s="2" t="s">
        <v>169</v>
      </c>
      <c r="V54" s="2" t="s">
        <v>169</v>
      </c>
      <c r="W54" s="2" t="s">
        <v>168</v>
      </c>
      <c r="X54" s="2" t="s">
        <v>201</v>
      </c>
      <c r="Y54" s="2" t="s">
        <v>169</v>
      </c>
      <c r="Z54" s="2" t="s">
        <v>169</v>
      </c>
      <c r="AA54" s="2" t="s">
        <v>169</v>
      </c>
      <c r="AB54" s="2" t="s">
        <v>168</v>
      </c>
      <c r="AC54" s="2" t="s">
        <v>168</v>
      </c>
      <c r="AD54" s="2" t="s">
        <v>168</v>
      </c>
      <c r="AE54" s="2" t="s">
        <v>168</v>
      </c>
      <c r="AF54" s="2" t="s">
        <v>202</v>
      </c>
      <c r="AG54" s="2" t="s">
        <v>168</v>
      </c>
      <c r="AH54" s="2" t="s">
        <v>168</v>
      </c>
      <c r="AI54" s="2" t="s">
        <v>227</v>
      </c>
      <c r="AJ54" s="2" t="s">
        <v>169</v>
      </c>
      <c r="AK54" s="2" t="s">
        <v>168</v>
      </c>
      <c r="AL54" s="2" t="s">
        <v>169</v>
      </c>
      <c r="AM54" s="2" t="s">
        <v>175</v>
      </c>
      <c r="AN54" s="2" t="s">
        <v>323</v>
      </c>
      <c r="AO54" s="19">
        <v>1103290</v>
      </c>
      <c r="AP54" s="2" t="s">
        <v>329</v>
      </c>
      <c r="AQ54" s="2" t="s">
        <v>330</v>
      </c>
      <c r="AR54" s="20" t="s">
        <v>328</v>
      </c>
    </row>
    <row r="55" spans="1:44" x14ac:dyDescent="0.2">
      <c r="A55" s="3">
        <f t="shared" si="0"/>
        <v>47</v>
      </c>
      <c r="B55" s="2" t="s">
        <v>109</v>
      </c>
      <c r="C55" s="2" t="s">
        <v>110</v>
      </c>
      <c r="D55" s="19" t="s">
        <v>117</v>
      </c>
      <c r="E55" s="2" t="s">
        <v>118</v>
      </c>
      <c r="F55" s="14">
        <v>34790000</v>
      </c>
      <c r="G55" s="14">
        <v>-500000</v>
      </c>
      <c r="H55" s="14">
        <v>0</v>
      </c>
      <c r="I55" s="14">
        <v>-300000</v>
      </c>
      <c r="J55" s="14">
        <v>-300000</v>
      </c>
      <c r="K55" s="14">
        <v>-1400000</v>
      </c>
      <c r="L55" s="14">
        <v>-300000</v>
      </c>
      <c r="M55" s="14">
        <v>-1700000</v>
      </c>
      <c r="N55" s="14">
        <v>33990000</v>
      </c>
      <c r="O55" s="14">
        <v>32290000</v>
      </c>
      <c r="P55" s="16" t="s">
        <v>292</v>
      </c>
      <c r="Q55" s="2" t="s">
        <v>294</v>
      </c>
      <c r="R55" s="2" t="s">
        <v>169</v>
      </c>
      <c r="S55" s="2" t="s">
        <v>186</v>
      </c>
      <c r="T55" s="2" t="s">
        <v>187</v>
      </c>
      <c r="U55" s="2" t="s">
        <v>169</v>
      </c>
      <c r="V55" s="2" t="s">
        <v>171</v>
      </c>
      <c r="W55" s="2" t="s">
        <v>169</v>
      </c>
      <c r="X55" s="2" t="s">
        <v>201</v>
      </c>
      <c r="Y55" s="2" t="s">
        <v>169</v>
      </c>
      <c r="Z55" s="2" t="s">
        <v>169</v>
      </c>
      <c r="AA55" s="2" t="s">
        <v>169</v>
      </c>
      <c r="AB55" s="2" t="s">
        <v>168</v>
      </c>
      <c r="AC55" s="2" t="s">
        <v>168</v>
      </c>
      <c r="AD55" s="2" t="s">
        <v>168</v>
      </c>
      <c r="AE55" s="2" t="s">
        <v>190</v>
      </c>
      <c r="AF55" s="2" t="s">
        <v>169</v>
      </c>
      <c r="AG55" s="2" t="s">
        <v>168</v>
      </c>
      <c r="AH55" s="2" t="s">
        <v>168</v>
      </c>
      <c r="AI55" s="2" t="s">
        <v>227</v>
      </c>
      <c r="AJ55" s="2" t="s">
        <v>168</v>
      </c>
      <c r="AK55" s="2" t="s">
        <v>168</v>
      </c>
      <c r="AL55" s="2" t="s">
        <v>169</v>
      </c>
      <c r="AM55" s="2" t="s">
        <v>175</v>
      </c>
      <c r="AN55" s="2" t="s">
        <v>323</v>
      </c>
      <c r="AO55" s="19">
        <v>1056702</v>
      </c>
      <c r="AP55" s="2" t="s">
        <v>331</v>
      </c>
      <c r="AQ55" s="2" t="s">
        <v>332</v>
      </c>
      <c r="AR55" s="20" t="s">
        <v>328</v>
      </c>
    </row>
    <row r="56" spans="1:44" x14ac:dyDescent="0.2">
      <c r="A56" s="3">
        <f t="shared" si="0"/>
        <v>48</v>
      </c>
      <c r="B56" s="2" t="s">
        <v>109</v>
      </c>
      <c r="C56" s="2" t="s">
        <v>110</v>
      </c>
      <c r="D56" s="19" t="s">
        <v>119</v>
      </c>
      <c r="E56" s="2" t="s">
        <v>120</v>
      </c>
      <c r="F56" s="14">
        <v>38690000</v>
      </c>
      <c r="G56" s="14">
        <v>-1000000</v>
      </c>
      <c r="H56" s="14">
        <v>0</v>
      </c>
      <c r="I56" s="14">
        <v>-500000</v>
      </c>
      <c r="J56" s="14">
        <v>-500000</v>
      </c>
      <c r="K56" s="14">
        <v>-1300000</v>
      </c>
      <c r="L56" s="14">
        <v>-500000</v>
      </c>
      <c r="M56" s="14">
        <v>-1800000</v>
      </c>
      <c r="N56" s="14">
        <v>37190000</v>
      </c>
      <c r="O56" s="14">
        <v>35390000</v>
      </c>
      <c r="P56" s="16" t="s">
        <v>292</v>
      </c>
      <c r="Q56" s="2" t="s">
        <v>294</v>
      </c>
      <c r="R56" s="2" t="s">
        <v>168</v>
      </c>
      <c r="S56" s="2" t="s">
        <v>248</v>
      </c>
      <c r="T56" s="2" t="s">
        <v>187</v>
      </c>
      <c r="U56" s="2" t="s">
        <v>169</v>
      </c>
      <c r="V56" s="2" t="s">
        <v>169</v>
      </c>
      <c r="W56" s="2" t="s">
        <v>168</v>
      </c>
      <c r="X56" s="2" t="s">
        <v>201</v>
      </c>
      <c r="Y56" s="2" t="s">
        <v>169</v>
      </c>
      <c r="Z56" s="2" t="s">
        <v>169</v>
      </c>
      <c r="AA56" s="2" t="s">
        <v>169</v>
      </c>
      <c r="AB56" s="2" t="s">
        <v>168</v>
      </c>
      <c r="AC56" s="2" t="s">
        <v>168</v>
      </c>
      <c r="AD56" s="2" t="s">
        <v>168</v>
      </c>
      <c r="AE56" s="2" t="s">
        <v>168</v>
      </c>
      <c r="AF56" s="2" t="s">
        <v>169</v>
      </c>
      <c r="AG56" s="2" t="s">
        <v>168</v>
      </c>
      <c r="AH56" s="2" t="s">
        <v>168</v>
      </c>
      <c r="AI56" s="2" t="s">
        <v>227</v>
      </c>
      <c r="AJ56" s="2" t="s">
        <v>168</v>
      </c>
      <c r="AK56" s="2" t="s">
        <v>168</v>
      </c>
      <c r="AL56" s="2" t="s">
        <v>169</v>
      </c>
      <c r="AM56" s="2" t="s">
        <v>175</v>
      </c>
      <c r="AN56" s="2" t="s">
        <v>333</v>
      </c>
      <c r="AO56" s="19">
        <v>1161878</v>
      </c>
      <c r="AP56" s="2" t="s">
        <v>334</v>
      </c>
      <c r="AQ56" s="2" t="s">
        <v>337</v>
      </c>
      <c r="AR56" s="20" t="s">
        <v>338</v>
      </c>
    </row>
    <row r="57" spans="1:44" x14ac:dyDescent="0.2">
      <c r="A57" s="3">
        <f t="shared" si="0"/>
        <v>49</v>
      </c>
      <c r="B57" s="2" t="s">
        <v>109</v>
      </c>
      <c r="C57" s="2" t="s">
        <v>110</v>
      </c>
      <c r="D57" s="19" t="s">
        <v>121</v>
      </c>
      <c r="E57" s="2" t="s">
        <v>122</v>
      </c>
      <c r="F57" s="14">
        <v>40490000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40490000</v>
      </c>
      <c r="O57" s="14">
        <v>40490000</v>
      </c>
      <c r="P57" s="16" t="s">
        <v>292</v>
      </c>
      <c r="Q57" s="2" t="s">
        <v>294</v>
      </c>
      <c r="R57" s="2" t="s">
        <v>168</v>
      </c>
      <c r="S57" s="2" t="s">
        <v>248</v>
      </c>
      <c r="T57" s="2" t="s">
        <v>187</v>
      </c>
      <c r="U57" s="2" t="s">
        <v>169</v>
      </c>
      <c r="V57" s="2" t="s">
        <v>169</v>
      </c>
      <c r="W57" s="2" t="s">
        <v>168</v>
      </c>
      <c r="X57" s="2" t="s">
        <v>201</v>
      </c>
      <c r="Y57" s="2" t="s">
        <v>169</v>
      </c>
      <c r="Z57" s="2" t="s">
        <v>169</v>
      </c>
      <c r="AA57" s="2" t="s">
        <v>169</v>
      </c>
      <c r="AB57" s="2" t="s">
        <v>168</v>
      </c>
      <c r="AC57" s="2" t="s">
        <v>168</v>
      </c>
      <c r="AD57" s="2" t="s">
        <v>168</v>
      </c>
      <c r="AE57" s="2" t="s">
        <v>168</v>
      </c>
      <c r="AF57" s="2" t="s">
        <v>202</v>
      </c>
      <c r="AG57" s="2" t="s">
        <v>168</v>
      </c>
      <c r="AH57" s="2" t="s">
        <v>168</v>
      </c>
      <c r="AI57" s="2" t="s">
        <v>227</v>
      </c>
      <c r="AJ57" s="2" t="s">
        <v>169</v>
      </c>
      <c r="AK57" s="2" t="s">
        <v>168</v>
      </c>
      <c r="AL57" s="2" t="s">
        <v>169</v>
      </c>
      <c r="AM57" s="2" t="s">
        <v>175</v>
      </c>
      <c r="AN57" s="2" t="s">
        <v>333</v>
      </c>
      <c r="AO57" s="19">
        <v>1247996</v>
      </c>
      <c r="AP57" s="2" t="s">
        <v>336</v>
      </c>
      <c r="AQ57" s="2" t="s">
        <v>339</v>
      </c>
      <c r="AR57" s="20" t="s">
        <v>338</v>
      </c>
    </row>
    <row r="58" spans="1:44" x14ac:dyDescent="0.2">
      <c r="A58" s="3">
        <f t="shared" si="0"/>
        <v>50</v>
      </c>
      <c r="B58" s="2" t="s">
        <v>109</v>
      </c>
      <c r="C58" s="2" t="s">
        <v>110</v>
      </c>
      <c r="D58" s="19" t="s">
        <v>123</v>
      </c>
      <c r="E58" s="2" t="s">
        <v>124</v>
      </c>
      <c r="F58" s="14">
        <v>41290000</v>
      </c>
      <c r="G58" s="14">
        <v>-1000000</v>
      </c>
      <c r="H58" s="14">
        <v>0</v>
      </c>
      <c r="I58" s="14">
        <v>-300000</v>
      </c>
      <c r="J58" s="14">
        <v>-300000</v>
      </c>
      <c r="K58" s="14">
        <v>-1200000</v>
      </c>
      <c r="L58" s="14">
        <v>-300000</v>
      </c>
      <c r="M58" s="14">
        <v>-1500000</v>
      </c>
      <c r="N58" s="14">
        <v>39990000</v>
      </c>
      <c r="O58" s="14">
        <v>38490000</v>
      </c>
      <c r="P58" s="16" t="s">
        <v>292</v>
      </c>
      <c r="Q58" s="2" t="s">
        <v>294</v>
      </c>
      <c r="R58" s="2" t="s">
        <v>169</v>
      </c>
      <c r="S58" s="2" t="s">
        <v>186</v>
      </c>
      <c r="T58" s="2" t="s">
        <v>187</v>
      </c>
      <c r="U58" s="2" t="s">
        <v>169</v>
      </c>
      <c r="V58" s="2" t="s">
        <v>171</v>
      </c>
      <c r="W58" s="2" t="s">
        <v>169</v>
      </c>
      <c r="X58" s="2" t="s">
        <v>201</v>
      </c>
      <c r="Y58" s="2" t="s">
        <v>169</v>
      </c>
      <c r="Z58" s="2" t="s">
        <v>169</v>
      </c>
      <c r="AA58" s="2" t="s">
        <v>169</v>
      </c>
      <c r="AB58" s="2" t="s">
        <v>168</v>
      </c>
      <c r="AC58" s="2" t="s">
        <v>168</v>
      </c>
      <c r="AD58" s="2" t="s">
        <v>168</v>
      </c>
      <c r="AE58" s="2" t="s">
        <v>190</v>
      </c>
      <c r="AF58" s="2" t="s">
        <v>169</v>
      </c>
      <c r="AG58" s="2" t="s">
        <v>168</v>
      </c>
      <c r="AH58" s="2" t="s">
        <v>168</v>
      </c>
      <c r="AI58" s="2" t="s">
        <v>227</v>
      </c>
      <c r="AJ58" s="2" t="s">
        <v>168</v>
      </c>
      <c r="AK58" s="2" t="s">
        <v>168</v>
      </c>
      <c r="AL58" s="2" t="s">
        <v>169</v>
      </c>
      <c r="AM58" s="2" t="s">
        <v>175</v>
      </c>
      <c r="AN58" s="2" t="s">
        <v>333</v>
      </c>
      <c r="AO58" s="19">
        <v>1912935</v>
      </c>
      <c r="AP58" s="2" t="s">
        <v>340</v>
      </c>
      <c r="AQ58" s="2" t="s">
        <v>341</v>
      </c>
      <c r="AR58" s="20" t="s">
        <v>335</v>
      </c>
    </row>
    <row r="59" spans="1:44" x14ac:dyDescent="0.2">
      <c r="A59" s="3">
        <f t="shared" si="0"/>
        <v>51</v>
      </c>
      <c r="B59" s="2" t="s">
        <v>109</v>
      </c>
      <c r="C59" s="2" t="s">
        <v>110</v>
      </c>
      <c r="D59" s="19" t="s">
        <v>125</v>
      </c>
      <c r="E59" s="2" t="s">
        <v>126</v>
      </c>
      <c r="F59" s="14">
        <v>41290000</v>
      </c>
      <c r="G59" s="14">
        <v>-1000000</v>
      </c>
      <c r="H59" s="14">
        <v>0</v>
      </c>
      <c r="I59" s="14">
        <v>-300000</v>
      </c>
      <c r="J59" s="14">
        <v>-300000</v>
      </c>
      <c r="K59" s="14">
        <v>-1200000</v>
      </c>
      <c r="L59" s="14">
        <v>-300000</v>
      </c>
      <c r="M59" s="14">
        <v>-1500000</v>
      </c>
      <c r="N59" s="14">
        <v>39990000</v>
      </c>
      <c r="O59" s="14">
        <v>38490000</v>
      </c>
      <c r="P59" s="16" t="s">
        <v>292</v>
      </c>
      <c r="Q59" s="2" t="s">
        <v>294</v>
      </c>
      <c r="R59" s="2" t="s">
        <v>169</v>
      </c>
      <c r="S59" s="2" t="s">
        <v>186</v>
      </c>
      <c r="T59" s="2" t="s">
        <v>187</v>
      </c>
      <c r="U59" s="2" t="s">
        <v>169</v>
      </c>
      <c r="V59" s="2" t="s">
        <v>171</v>
      </c>
      <c r="W59" s="2" t="s">
        <v>169</v>
      </c>
      <c r="X59" s="2" t="s">
        <v>201</v>
      </c>
      <c r="Y59" s="2" t="s">
        <v>169</v>
      </c>
      <c r="Z59" s="2" t="s">
        <v>169</v>
      </c>
      <c r="AA59" s="2" t="s">
        <v>169</v>
      </c>
      <c r="AB59" s="2" t="s">
        <v>168</v>
      </c>
      <c r="AC59" s="2" t="s">
        <v>168</v>
      </c>
      <c r="AD59" s="2" t="s">
        <v>168</v>
      </c>
      <c r="AE59" s="2" t="s">
        <v>190</v>
      </c>
      <c r="AF59" s="2" t="s">
        <v>169</v>
      </c>
      <c r="AG59" s="2" t="s">
        <v>168</v>
      </c>
      <c r="AH59" s="2" t="s">
        <v>168</v>
      </c>
      <c r="AI59" s="2" t="s">
        <v>227</v>
      </c>
      <c r="AJ59" s="2" t="s">
        <v>168</v>
      </c>
      <c r="AK59" s="2" t="s">
        <v>168</v>
      </c>
      <c r="AL59" s="2" t="s">
        <v>169</v>
      </c>
      <c r="AM59" s="2" t="s">
        <v>175</v>
      </c>
      <c r="AN59" s="2" t="s">
        <v>333</v>
      </c>
      <c r="AO59" s="19">
        <v>1241643</v>
      </c>
      <c r="AP59" s="2" t="s">
        <v>340</v>
      </c>
      <c r="AQ59" s="2" t="s">
        <v>342</v>
      </c>
      <c r="AR59" s="20" t="s">
        <v>338</v>
      </c>
    </row>
    <row r="60" spans="1:44" x14ac:dyDescent="0.2">
      <c r="A60" s="3">
        <f t="shared" si="0"/>
        <v>52</v>
      </c>
      <c r="B60" s="2" t="s">
        <v>109</v>
      </c>
      <c r="C60" s="2" t="s">
        <v>110</v>
      </c>
      <c r="D60" s="19" t="s">
        <v>127</v>
      </c>
      <c r="E60" s="2" t="s">
        <v>128</v>
      </c>
      <c r="F60" s="14">
        <v>45290000</v>
      </c>
      <c r="G60" s="14">
        <v>0</v>
      </c>
      <c r="H60" s="14">
        <v>0</v>
      </c>
      <c r="I60" s="14">
        <v>-500000</v>
      </c>
      <c r="J60" s="14">
        <v>-500000</v>
      </c>
      <c r="K60" s="14">
        <v>0</v>
      </c>
      <c r="L60" s="14">
        <v>-600000</v>
      </c>
      <c r="M60" s="14">
        <v>-600000</v>
      </c>
      <c r="N60" s="14">
        <v>44790000</v>
      </c>
      <c r="O60" s="14">
        <v>44190000</v>
      </c>
      <c r="P60" s="16" t="s">
        <v>282</v>
      </c>
      <c r="Q60" s="2" t="s">
        <v>294</v>
      </c>
      <c r="R60" s="2" t="s">
        <v>169</v>
      </c>
      <c r="S60" s="2" t="s">
        <v>186</v>
      </c>
      <c r="T60" s="2" t="s">
        <v>187</v>
      </c>
      <c r="U60" s="2" t="s">
        <v>169</v>
      </c>
      <c r="V60" s="2" t="s">
        <v>171</v>
      </c>
      <c r="W60" s="2" t="s">
        <v>169</v>
      </c>
      <c r="X60" s="2" t="s">
        <v>201</v>
      </c>
      <c r="Y60" s="2" t="s">
        <v>169</v>
      </c>
      <c r="Z60" s="2" t="s">
        <v>169</v>
      </c>
      <c r="AA60" s="2" t="s">
        <v>169</v>
      </c>
      <c r="AB60" s="2" t="s">
        <v>168</v>
      </c>
      <c r="AC60" s="2" t="s">
        <v>168</v>
      </c>
      <c r="AD60" s="2" t="s">
        <v>168</v>
      </c>
      <c r="AE60" s="2" t="s">
        <v>190</v>
      </c>
      <c r="AF60" s="2" t="s">
        <v>169</v>
      </c>
      <c r="AG60" s="2" t="s">
        <v>168</v>
      </c>
      <c r="AH60" s="2" t="s">
        <v>168</v>
      </c>
      <c r="AI60" s="2" t="s">
        <v>227</v>
      </c>
      <c r="AJ60" s="2" t="s">
        <v>168</v>
      </c>
      <c r="AK60" s="2" t="s">
        <v>168</v>
      </c>
      <c r="AL60" s="2" t="s">
        <v>169</v>
      </c>
      <c r="AM60" s="2" t="s">
        <v>175</v>
      </c>
      <c r="AN60" s="2" t="s">
        <v>343</v>
      </c>
      <c r="AO60" s="19">
        <v>2654109</v>
      </c>
      <c r="AP60" s="2" t="s">
        <v>344</v>
      </c>
      <c r="AQ60" s="2" t="s">
        <v>345</v>
      </c>
      <c r="AR60" s="20" t="s">
        <v>346</v>
      </c>
    </row>
    <row r="61" spans="1:44" x14ac:dyDescent="0.2">
      <c r="A61" s="3">
        <f t="shared" si="0"/>
        <v>53</v>
      </c>
      <c r="B61" s="2" t="s">
        <v>109</v>
      </c>
      <c r="C61" s="2" t="s">
        <v>110</v>
      </c>
      <c r="D61" s="19" t="s">
        <v>129</v>
      </c>
      <c r="E61" t="s">
        <v>130</v>
      </c>
      <c r="F61" s="14">
        <v>48590000</v>
      </c>
      <c r="G61" s="14">
        <v>-1000000</v>
      </c>
      <c r="H61" s="14">
        <v>0</v>
      </c>
      <c r="I61" s="14">
        <v>-800000</v>
      </c>
      <c r="J61" s="14">
        <v>-800000</v>
      </c>
      <c r="K61" s="14">
        <v>-200000</v>
      </c>
      <c r="L61" s="14">
        <v>-800000</v>
      </c>
      <c r="M61" s="14">
        <v>-1000000</v>
      </c>
      <c r="N61" s="14">
        <v>46790000</v>
      </c>
      <c r="O61" s="14">
        <v>45790000</v>
      </c>
      <c r="P61" s="16" t="s">
        <v>282</v>
      </c>
      <c r="Q61" s="2" t="s">
        <v>167</v>
      </c>
      <c r="R61" s="2" t="s">
        <v>169</v>
      </c>
      <c r="S61" s="2" t="s">
        <v>186</v>
      </c>
      <c r="T61" s="2" t="s">
        <v>187</v>
      </c>
      <c r="U61" s="2" t="s">
        <v>169</v>
      </c>
      <c r="V61" s="2" t="s">
        <v>171</v>
      </c>
      <c r="W61" s="2" t="s">
        <v>169</v>
      </c>
      <c r="X61" s="2" t="s">
        <v>222</v>
      </c>
      <c r="Y61" s="2" t="s">
        <v>169</v>
      </c>
      <c r="Z61" s="2" t="s">
        <v>169</v>
      </c>
      <c r="AA61" s="2" t="s">
        <v>169</v>
      </c>
      <c r="AB61" s="2" t="s">
        <v>169</v>
      </c>
      <c r="AC61" s="2" t="s">
        <v>169</v>
      </c>
      <c r="AD61" s="2" t="s">
        <v>168</v>
      </c>
      <c r="AE61" s="2" t="s">
        <v>174</v>
      </c>
      <c r="AF61" s="2" t="s">
        <v>202</v>
      </c>
      <c r="AG61" s="2" t="s">
        <v>168</v>
      </c>
      <c r="AH61" s="2" t="s">
        <v>168</v>
      </c>
      <c r="AI61" s="2" t="s">
        <v>227</v>
      </c>
      <c r="AJ61" s="2" t="s">
        <v>169</v>
      </c>
      <c r="AK61" s="2" t="s">
        <v>168</v>
      </c>
      <c r="AL61" s="2" t="s">
        <v>169</v>
      </c>
      <c r="AM61" s="2" t="s">
        <v>175</v>
      </c>
      <c r="AN61" s="2" t="s">
        <v>347</v>
      </c>
      <c r="AO61" s="19">
        <v>1612936</v>
      </c>
      <c r="AP61" s="2" t="s">
        <v>348</v>
      </c>
      <c r="AQ61" s="2" t="s">
        <v>349</v>
      </c>
      <c r="AR61" s="20" t="s">
        <v>350</v>
      </c>
    </row>
    <row r="62" spans="1:44" ht="13.5" thickBot="1" x14ac:dyDescent="0.25">
      <c r="A62" s="3">
        <f t="shared" si="0"/>
        <v>54</v>
      </c>
      <c r="B62" s="5" t="s">
        <v>109</v>
      </c>
      <c r="C62" s="5" t="s">
        <v>110</v>
      </c>
      <c r="D62" s="21" t="s">
        <v>131</v>
      </c>
      <c r="E62" s="5" t="s">
        <v>132</v>
      </c>
      <c r="F62" s="22">
        <v>48590000</v>
      </c>
      <c r="G62" s="22">
        <v>0</v>
      </c>
      <c r="H62" s="22">
        <v>0</v>
      </c>
      <c r="I62" s="22">
        <v>-800000</v>
      </c>
      <c r="J62" s="22">
        <v>-800000</v>
      </c>
      <c r="K62" s="22">
        <v>0</v>
      </c>
      <c r="L62" s="22">
        <v>-800000</v>
      </c>
      <c r="M62" s="22">
        <v>-800000</v>
      </c>
      <c r="N62" s="22">
        <v>47790000</v>
      </c>
      <c r="O62" s="22">
        <v>46990000</v>
      </c>
      <c r="P62" s="23" t="s">
        <v>282</v>
      </c>
      <c r="Q62" s="5" t="s">
        <v>167</v>
      </c>
      <c r="R62" s="5" t="s">
        <v>169</v>
      </c>
      <c r="S62" s="5" t="s">
        <v>186</v>
      </c>
      <c r="T62" s="5" t="s">
        <v>187</v>
      </c>
      <c r="U62" s="5" t="s">
        <v>169</v>
      </c>
      <c r="V62" s="5" t="s">
        <v>171</v>
      </c>
      <c r="W62" s="5" t="s">
        <v>169</v>
      </c>
      <c r="X62" s="5" t="s">
        <v>222</v>
      </c>
      <c r="Y62" s="5" t="s">
        <v>169</v>
      </c>
      <c r="Z62" s="5" t="s">
        <v>169</v>
      </c>
      <c r="AA62" s="5" t="s">
        <v>169</v>
      </c>
      <c r="AB62" s="5" t="s">
        <v>169</v>
      </c>
      <c r="AC62" s="5" t="s">
        <v>169</v>
      </c>
      <c r="AD62" s="5" t="s">
        <v>168</v>
      </c>
      <c r="AE62" s="5" t="s">
        <v>174</v>
      </c>
      <c r="AF62" s="5" t="s">
        <v>202</v>
      </c>
      <c r="AG62" s="5" t="s">
        <v>168</v>
      </c>
      <c r="AH62" s="5" t="s">
        <v>168</v>
      </c>
      <c r="AI62" s="5" t="s">
        <v>227</v>
      </c>
      <c r="AJ62" s="5" t="s">
        <v>169</v>
      </c>
      <c r="AK62" s="5" t="s">
        <v>168</v>
      </c>
      <c r="AL62" s="5" t="s">
        <v>169</v>
      </c>
      <c r="AM62" s="5" t="s">
        <v>175</v>
      </c>
      <c r="AN62" s="5" t="s">
        <v>347</v>
      </c>
      <c r="AO62" s="21">
        <v>1646818</v>
      </c>
      <c r="AP62" s="5" t="s">
        <v>348</v>
      </c>
      <c r="AQ62" s="5" t="s">
        <v>351</v>
      </c>
      <c r="AR62" s="24" t="s">
        <v>350</v>
      </c>
    </row>
    <row r="68" spans="1:48" ht="13.9" customHeight="1" x14ac:dyDescent="0.2">
      <c r="A68" s="3">
        <f>A62+1</f>
        <v>55</v>
      </c>
      <c r="B68" s="2" t="s">
        <v>52</v>
      </c>
      <c r="C68" s="2" t="s">
        <v>133</v>
      </c>
      <c r="D68" s="19" t="s">
        <v>134</v>
      </c>
      <c r="E68" s="2" t="s">
        <v>135</v>
      </c>
      <c r="F68" s="14">
        <v>53090000</v>
      </c>
      <c r="G68" s="14">
        <v>0</v>
      </c>
      <c r="H68" s="14">
        <v>-100000</v>
      </c>
      <c r="I68" s="14">
        <v>-500000</v>
      </c>
      <c r="J68" s="14">
        <v>-600000</v>
      </c>
      <c r="K68" s="14">
        <v>0</v>
      </c>
      <c r="L68" s="14">
        <v>-500000</v>
      </c>
      <c r="M68" s="14">
        <v>-500000</v>
      </c>
      <c r="N68" s="14">
        <v>52490000</v>
      </c>
      <c r="O68" s="14">
        <v>51990000</v>
      </c>
      <c r="P68" s="16" t="s">
        <v>282</v>
      </c>
      <c r="Q68" s="2" t="s">
        <v>167</v>
      </c>
      <c r="R68" s="2" t="s">
        <v>169</v>
      </c>
      <c r="S68" s="2" t="s">
        <v>186</v>
      </c>
      <c r="T68" s="2" t="s">
        <v>187</v>
      </c>
      <c r="U68" s="2" t="s">
        <v>169</v>
      </c>
      <c r="V68" s="2" t="s">
        <v>171</v>
      </c>
      <c r="W68" s="2" t="s">
        <v>169</v>
      </c>
      <c r="X68" s="2" t="s">
        <v>222</v>
      </c>
      <c r="Y68" s="2" t="s">
        <v>169</v>
      </c>
      <c r="Z68" s="2" t="s">
        <v>169</v>
      </c>
      <c r="AA68" s="2" t="s">
        <v>169</v>
      </c>
      <c r="AB68" s="2" t="s">
        <v>169</v>
      </c>
      <c r="AC68" s="2" t="s">
        <v>169</v>
      </c>
      <c r="AD68" s="2" t="s">
        <v>168</v>
      </c>
      <c r="AE68" s="2" t="s">
        <v>174</v>
      </c>
      <c r="AF68" s="2" t="s">
        <v>202</v>
      </c>
      <c r="AG68" s="2" t="s">
        <v>168</v>
      </c>
      <c r="AH68" s="2" t="s">
        <v>169</v>
      </c>
      <c r="AI68" s="2" t="s">
        <v>287</v>
      </c>
      <c r="AJ68" s="2" t="s">
        <v>169</v>
      </c>
      <c r="AK68" s="2" t="s">
        <v>168</v>
      </c>
      <c r="AL68" s="2" t="s">
        <v>169</v>
      </c>
      <c r="AM68" s="2" t="s">
        <v>175</v>
      </c>
      <c r="AN68" s="2" t="s">
        <v>283</v>
      </c>
      <c r="AO68" s="19">
        <v>1648230</v>
      </c>
      <c r="AP68" s="2" t="s">
        <v>352</v>
      </c>
      <c r="AQ68" s="2" t="s">
        <v>354</v>
      </c>
      <c r="AR68" s="20" t="s">
        <v>353</v>
      </c>
    </row>
    <row r="69" spans="1:48" x14ac:dyDescent="0.2">
      <c r="A69" s="3">
        <f t="shared" ref="A69:A72" si="1">+A68+1</f>
        <v>56</v>
      </c>
      <c r="B69" s="2" t="s">
        <v>44</v>
      </c>
      <c r="C69" s="2" t="s">
        <v>136</v>
      </c>
      <c r="D69" s="19" t="s">
        <v>137</v>
      </c>
      <c r="E69" s="2" t="s">
        <v>138</v>
      </c>
      <c r="F69" s="14">
        <v>54990000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54990000</v>
      </c>
      <c r="O69" s="14">
        <v>54990000</v>
      </c>
      <c r="P69" s="16" t="s">
        <v>355</v>
      </c>
      <c r="Q69" s="2" t="s">
        <v>294</v>
      </c>
      <c r="R69" s="2" t="s">
        <v>169</v>
      </c>
      <c r="S69" s="2" t="s">
        <v>169</v>
      </c>
      <c r="T69" s="2" t="s">
        <v>170</v>
      </c>
      <c r="U69" s="2" t="s">
        <v>169</v>
      </c>
      <c r="V69" s="2" t="s">
        <v>171</v>
      </c>
      <c r="W69" s="2" t="s">
        <v>169</v>
      </c>
      <c r="X69" s="2" t="s">
        <v>172</v>
      </c>
      <c r="Y69" s="2" t="s">
        <v>169</v>
      </c>
      <c r="Z69" s="2" t="s">
        <v>169</v>
      </c>
      <c r="AA69" s="2" t="s">
        <v>169</v>
      </c>
      <c r="AB69" s="2" t="s">
        <v>169</v>
      </c>
      <c r="AC69" s="2" t="s">
        <v>169</v>
      </c>
      <c r="AD69" s="2" t="s">
        <v>168</v>
      </c>
      <c r="AE69" s="2" t="s">
        <v>174</v>
      </c>
      <c r="AF69" s="2" t="s">
        <v>169</v>
      </c>
      <c r="AG69" s="2" t="s">
        <v>168</v>
      </c>
      <c r="AH69" s="2" t="s">
        <v>168</v>
      </c>
      <c r="AI69" s="2" t="s">
        <v>169</v>
      </c>
      <c r="AJ69" s="2" t="s">
        <v>169</v>
      </c>
      <c r="AK69" s="2" t="s">
        <v>168</v>
      </c>
      <c r="AL69" s="2" t="s">
        <v>169</v>
      </c>
      <c r="AM69" s="2" t="s">
        <v>175</v>
      </c>
      <c r="AN69" s="2" t="s">
        <v>356</v>
      </c>
      <c r="AO69" s="19">
        <v>1106114</v>
      </c>
      <c r="AP69" s="2" t="s">
        <v>357</v>
      </c>
      <c r="AQ69" s="2" t="s">
        <v>358</v>
      </c>
      <c r="AR69" s="20" t="s">
        <v>359</v>
      </c>
    </row>
    <row r="70" spans="1:48" x14ac:dyDescent="0.2">
      <c r="A70" s="3">
        <f t="shared" si="1"/>
        <v>57</v>
      </c>
      <c r="B70" s="2" t="s">
        <v>44</v>
      </c>
      <c r="C70" s="2" t="s">
        <v>136</v>
      </c>
      <c r="D70" s="19" t="s">
        <v>139</v>
      </c>
      <c r="E70" s="25" t="s">
        <v>140</v>
      </c>
      <c r="F70" s="14">
        <v>56990000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56990000</v>
      </c>
      <c r="O70" s="14">
        <v>56990000</v>
      </c>
      <c r="P70" s="16" t="s">
        <v>355</v>
      </c>
      <c r="Q70" s="2" t="s">
        <v>167</v>
      </c>
      <c r="R70" s="2" t="s">
        <v>169</v>
      </c>
      <c r="S70" s="2" t="s">
        <v>169</v>
      </c>
      <c r="T70" s="2" t="s">
        <v>170</v>
      </c>
      <c r="U70" s="2" t="s">
        <v>169</v>
      </c>
      <c r="V70" s="2" t="s">
        <v>171</v>
      </c>
      <c r="W70" s="2" t="s">
        <v>169</v>
      </c>
      <c r="X70" s="2" t="s">
        <v>172</v>
      </c>
      <c r="Y70" s="2" t="s">
        <v>169</v>
      </c>
      <c r="Z70" s="2" t="s">
        <v>169</v>
      </c>
      <c r="AA70" s="2" t="s">
        <v>169</v>
      </c>
      <c r="AB70" s="2" t="s">
        <v>169</v>
      </c>
      <c r="AC70" s="2" t="s">
        <v>169</v>
      </c>
      <c r="AD70" s="2" t="s">
        <v>168</v>
      </c>
      <c r="AE70" s="2" t="s">
        <v>174</v>
      </c>
      <c r="AF70" s="2" t="s">
        <v>169</v>
      </c>
      <c r="AG70" s="2" t="s">
        <v>168</v>
      </c>
      <c r="AH70" s="2" t="s">
        <v>168</v>
      </c>
      <c r="AI70" s="2" t="s">
        <v>169</v>
      </c>
      <c r="AJ70" s="2" t="s">
        <v>169</v>
      </c>
      <c r="AK70" s="2" t="s">
        <v>168</v>
      </c>
      <c r="AL70" s="2" t="s">
        <v>169</v>
      </c>
      <c r="AM70" s="2" t="s">
        <v>175</v>
      </c>
      <c r="AN70" s="2" t="s">
        <v>360</v>
      </c>
      <c r="AO70" s="19">
        <v>1360937</v>
      </c>
      <c r="AP70" s="2" t="s">
        <v>361</v>
      </c>
      <c r="AQ70" s="2" t="s">
        <v>362</v>
      </c>
      <c r="AR70" s="20" t="s">
        <v>363</v>
      </c>
    </row>
    <row r="71" spans="1:48" x14ac:dyDescent="0.2">
      <c r="A71" s="3">
        <f t="shared" si="1"/>
        <v>58</v>
      </c>
      <c r="B71" s="2" t="s">
        <v>109</v>
      </c>
      <c r="C71" s="2" t="s">
        <v>141</v>
      </c>
      <c r="D71" s="19" t="s">
        <v>142</v>
      </c>
      <c r="E71" s="2" t="s">
        <v>143</v>
      </c>
      <c r="F71" s="14">
        <v>53190000</v>
      </c>
      <c r="G71" s="14">
        <v>0</v>
      </c>
      <c r="H71" s="14">
        <v>0</v>
      </c>
      <c r="I71" s="14">
        <v>-400000</v>
      </c>
      <c r="J71" s="14">
        <v>-400000</v>
      </c>
      <c r="K71" s="14">
        <v>-500000</v>
      </c>
      <c r="L71" s="14">
        <v>-400000</v>
      </c>
      <c r="M71" s="14">
        <v>-900000</v>
      </c>
      <c r="N71" s="14">
        <v>52790000</v>
      </c>
      <c r="O71" s="14">
        <v>51890000</v>
      </c>
      <c r="P71" s="16" t="s">
        <v>282</v>
      </c>
      <c r="Q71" s="2" t="s">
        <v>167</v>
      </c>
      <c r="R71" s="2" t="s">
        <v>169</v>
      </c>
      <c r="S71" s="2" t="s">
        <v>186</v>
      </c>
      <c r="T71" s="2" t="s">
        <v>187</v>
      </c>
      <c r="U71" s="2" t="s">
        <v>169</v>
      </c>
      <c r="V71" s="2" t="s">
        <v>171</v>
      </c>
      <c r="W71" s="2" t="s">
        <v>169</v>
      </c>
      <c r="X71" s="2" t="s">
        <v>201</v>
      </c>
      <c r="Y71" s="2" t="s">
        <v>169</v>
      </c>
      <c r="Z71" s="2" t="s">
        <v>169</v>
      </c>
      <c r="AA71" s="2" t="s">
        <v>169</v>
      </c>
      <c r="AB71" s="2" t="s">
        <v>169</v>
      </c>
      <c r="AC71" s="2" t="s">
        <v>169</v>
      </c>
      <c r="AD71" s="2" t="s">
        <v>168</v>
      </c>
      <c r="AE71" s="2" t="s">
        <v>174</v>
      </c>
      <c r="AF71" s="2" t="s">
        <v>202</v>
      </c>
      <c r="AG71" s="2" t="s">
        <v>168</v>
      </c>
      <c r="AH71" s="2" t="s">
        <v>168</v>
      </c>
      <c r="AI71" s="2" t="s">
        <v>227</v>
      </c>
      <c r="AJ71" s="2" t="s">
        <v>169</v>
      </c>
      <c r="AK71" s="2" t="s">
        <v>168</v>
      </c>
      <c r="AL71" s="2" t="s">
        <v>169</v>
      </c>
      <c r="AM71" s="2" t="s">
        <v>175</v>
      </c>
      <c r="AN71" s="2" t="s">
        <v>347</v>
      </c>
      <c r="AO71" s="19">
        <v>1802818</v>
      </c>
      <c r="AP71" s="2" t="s">
        <v>364</v>
      </c>
      <c r="AQ71" s="2" t="s">
        <v>365</v>
      </c>
      <c r="AR71" s="20" t="s">
        <v>366</v>
      </c>
    </row>
    <row r="72" spans="1:48" ht="13.5" thickBot="1" x14ac:dyDescent="0.25">
      <c r="A72" s="4">
        <f t="shared" si="1"/>
        <v>59</v>
      </c>
      <c r="B72" s="5" t="s">
        <v>109</v>
      </c>
      <c r="C72" s="5" t="s">
        <v>141</v>
      </c>
      <c r="D72" s="21" t="s">
        <v>144</v>
      </c>
      <c r="E72" s="5" t="s">
        <v>145</v>
      </c>
      <c r="F72" s="14">
        <v>52990000</v>
      </c>
      <c r="G72" s="14">
        <v>0</v>
      </c>
      <c r="H72" s="14">
        <v>0</v>
      </c>
      <c r="I72" s="14">
        <v>-400000</v>
      </c>
      <c r="J72" s="14">
        <v>-400000</v>
      </c>
      <c r="K72" s="14">
        <v>-500000</v>
      </c>
      <c r="L72" s="14">
        <v>-400000</v>
      </c>
      <c r="M72" s="14">
        <v>-900000</v>
      </c>
      <c r="N72" s="14">
        <v>52590000</v>
      </c>
      <c r="O72" s="14">
        <v>51690000</v>
      </c>
      <c r="P72" s="16" t="s">
        <v>282</v>
      </c>
      <c r="Q72" s="2" t="s">
        <v>167</v>
      </c>
      <c r="R72" s="2" t="s">
        <v>169</v>
      </c>
      <c r="S72" s="2" t="s">
        <v>186</v>
      </c>
      <c r="T72" s="2" t="s">
        <v>187</v>
      </c>
      <c r="U72" s="2" t="s">
        <v>169</v>
      </c>
      <c r="V72" s="2" t="s">
        <v>171</v>
      </c>
      <c r="W72" s="2" t="s">
        <v>169</v>
      </c>
      <c r="X72" s="2" t="s">
        <v>201</v>
      </c>
      <c r="Y72" s="2" t="s">
        <v>169</v>
      </c>
      <c r="Z72" s="2" t="s">
        <v>169</v>
      </c>
      <c r="AA72" s="2" t="s">
        <v>169</v>
      </c>
      <c r="AB72" s="2" t="s">
        <v>169</v>
      </c>
      <c r="AC72" s="2" t="s">
        <v>169</v>
      </c>
      <c r="AD72" s="2" t="s">
        <v>168</v>
      </c>
      <c r="AE72" s="2" t="s">
        <v>174</v>
      </c>
      <c r="AF72" s="2" t="s">
        <v>202</v>
      </c>
      <c r="AG72" s="2" t="s">
        <v>168</v>
      </c>
      <c r="AH72" s="2" t="s">
        <v>168</v>
      </c>
      <c r="AI72" s="2" t="s">
        <v>227</v>
      </c>
      <c r="AJ72" s="2" t="s">
        <v>169</v>
      </c>
      <c r="AK72" s="2" t="s">
        <v>168</v>
      </c>
      <c r="AL72" s="2" t="s">
        <v>169</v>
      </c>
      <c r="AM72" s="2" t="s">
        <v>175</v>
      </c>
      <c r="AN72" s="2" t="s">
        <v>347</v>
      </c>
      <c r="AO72" s="19">
        <v>1796465</v>
      </c>
      <c r="AP72" s="2" t="s">
        <v>364</v>
      </c>
      <c r="AQ72" s="2" t="s">
        <v>367</v>
      </c>
      <c r="AR72" s="20" t="s">
        <v>366</v>
      </c>
    </row>
    <row r="75" spans="1:48" x14ac:dyDescent="0.2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spans="1:48" x14ac:dyDescent="0.2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37"/>
      <c r="N76" s="37"/>
      <c r="O76" s="37"/>
      <c r="P76" s="28"/>
      <c r="Q76" s="37"/>
      <c r="R76" s="28"/>
      <c r="S76" s="37"/>
      <c r="T76" s="37"/>
      <c r="U76" s="28"/>
      <c r="V76" s="28"/>
      <c r="W76" s="28"/>
      <c r="X76" s="37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spans="1:48" x14ac:dyDescent="0.2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37"/>
      <c r="N77" s="37"/>
      <c r="O77" s="37"/>
      <c r="P77" s="28"/>
      <c r="Q77" s="28"/>
      <c r="R77" s="28"/>
      <c r="S77" s="37"/>
      <c r="T77" s="37"/>
      <c r="U77" s="28"/>
      <c r="V77" s="28"/>
      <c r="W77" s="28"/>
      <c r="X77" s="37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81" spans="3:44" x14ac:dyDescent="0.2">
      <c r="AQ81" s="36"/>
      <c r="AR81" s="36"/>
    </row>
    <row r="82" spans="3:44" x14ac:dyDescent="0.2">
      <c r="AQ82" s="36"/>
      <c r="AR82" s="36"/>
    </row>
    <row r="83" spans="3:44" x14ac:dyDescent="0.2">
      <c r="AQ83" s="36"/>
      <c r="AR83" s="36"/>
    </row>
    <row r="84" spans="3:44" x14ac:dyDescent="0.2">
      <c r="C84" s="27"/>
      <c r="D84" s="28"/>
      <c r="AQ84" s="36"/>
      <c r="AR84" s="36"/>
    </row>
    <row r="85" spans="3:44" x14ac:dyDescent="0.2">
      <c r="C85" s="28"/>
      <c r="D85" s="28"/>
      <c r="AQ85" s="36"/>
      <c r="AR85" s="36"/>
    </row>
    <row r="86" spans="3:44" x14ac:dyDescent="0.2">
      <c r="C86" s="28"/>
      <c r="D86" s="28"/>
      <c r="AQ86" s="36"/>
      <c r="AR86" s="36"/>
    </row>
    <row r="87" spans="3:44" x14ac:dyDescent="0.2">
      <c r="C87" s="28"/>
      <c r="D87" s="28"/>
      <c r="AQ87" s="36"/>
      <c r="AR87" s="36"/>
    </row>
    <row r="88" spans="3:44" x14ac:dyDescent="0.2">
      <c r="C88" s="28"/>
      <c r="D88" s="28"/>
      <c r="AQ88" s="36"/>
      <c r="AR88" s="36"/>
    </row>
    <row r="89" spans="3:44" x14ac:dyDescent="0.2">
      <c r="C89" s="28"/>
      <c r="D89" s="28"/>
      <c r="AQ89" s="36"/>
      <c r="AR89" s="36"/>
    </row>
    <row r="90" spans="3:44" x14ac:dyDescent="0.2">
      <c r="C90" s="28"/>
      <c r="D90" s="28"/>
      <c r="AQ90" s="36"/>
      <c r="AR90" s="36"/>
    </row>
    <row r="91" spans="3:44" x14ac:dyDescent="0.2">
      <c r="C91" s="28"/>
      <c r="D91" s="28"/>
      <c r="AQ91" s="36"/>
      <c r="AR91" s="36"/>
    </row>
    <row r="92" spans="3:44" x14ac:dyDescent="0.2">
      <c r="C92" s="27"/>
      <c r="D92" s="28"/>
      <c r="AQ92" s="36"/>
      <c r="AR92" s="36"/>
    </row>
    <row r="93" spans="3:44" x14ac:dyDescent="0.2">
      <c r="C93" s="28"/>
      <c r="D93" s="28"/>
      <c r="AQ93" s="36"/>
      <c r="AR93" s="36"/>
    </row>
    <row r="94" spans="3:44" x14ac:dyDescent="0.2">
      <c r="C94" s="28"/>
      <c r="D94" s="28"/>
      <c r="AQ94" s="36"/>
      <c r="AR94" s="36"/>
    </row>
    <row r="95" spans="3:44" x14ac:dyDescent="0.2">
      <c r="C95" s="28"/>
      <c r="D95" s="28"/>
      <c r="AQ95" s="36"/>
      <c r="AR95" s="36"/>
    </row>
    <row r="96" spans="3:44" x14ac:dyDescent="0.2">
      <c r="C96" s="28"/>
      <c r="D96" s="28"/>
      <c r="AQ96" s="36"/>
      <c r="AR96" s="36"/>
    </row>
    <row r="97" spans="3:4" x14ac:dyDescent="0.2">
      <c r="C97" s="28"/>
      <c r="D97" s="28"/>
    </row>
    <row r="98" spans="3:4" x14ac:dyDescent="0.2">
      <c r="C98" s="28"/>
      <c r="D98" s="28"/>
    </row>
    <row r="99" spans="3:4" x14ac:dyDescent="0.2">
      <c r="C99" s="27"/>
      <c r="D99" s="28"/>
    </row>
    <row r="100" spans="3:4" x14ac:dyDescent="0.2">
      <c r="C100" s="28"/>
      <c r="D100" s="28"/>
    </row>
  </sheetData>
  <autoFilter ref="A8:AR62" xr:uid="{26F03DD9-66F7-469E-949B-87BD329D6F02}"/>
  <mergeCells count="3">
    <mergeCell ref="C3:T3"/>
    <mergeCell ref="H7:J7"/>
    <mergeCell ref="K7:M7"/>
  </mergeCells>
  <phoneticPr fontId="5" type="noConversion"/>
  <conditionalFormatting sqref="E9:E10">
    <cfRule type="duplicateValues" dxfId="4" priority="3"/>
  </conditionalFormatting>
  <conditionalFormatting sqref="E74">
    <cfRule type="duplicateValues" dxfId="3" priority="45"/>
  </conditionalFormatting>
  <conditionalFormatting sqref="E78:E1048576 E1:E8 E11:E73">
    <cfRule type="duplicateValues" dxfId="2" priority="40"/>
  </conditionalFormatting>
  <conditionalFormatting sqref="AQ1:AQ20 AQ78:AQ1048576 AQ23:AQ74">
    <cfRule type="duplicateValues" dxfId="1" priority="2"/>
  </conditionalFormatting>
  <conditionalFormatting sqref="AQ12:AQ20 AQ23:AQ25">
    <cfRule type="duplicateValues" dxfId="0" priority="39"/>
  </conditionalFormatting>
  <pageMargins left="0.25" right="0.25" top="0.75" bottom="0.75" header="0.3" footer="0.3"/>
  <pageSetup scale="2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A4E15EB970E442936FE839B52DF925" ma:contentTypeVersion="3" ma:contentTypeDescription="Crear nuevo documento." ma:contentTypeScope="" ma:versionID="1524929b53212fab22d0ebd2214b5dae">
  <xsd:schema xmlns:xsd="http://www.w3.org/2001/XMLSchema" xmlns:xs="http://www.w3.org/2001/XMLSchema" xmlns:p="http://schemas.microsoft.com/office/2006/metadata/properties" xmlns:ns2="adc751e4-d746-4cd1-b2ab-10c939ea70c6" targetNamespace="http://schemas.microsoft.com/office/2006/metadata/properties" ma:root="true" ma:fieldsID="b5e8aa7cca5e674f827a8552297cd796" ns2:_="">
    <xsd:import namespace="adc751e4-d746-4cd1-b2ab-10c939ea70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751e4-d746-4cd1-b2ab-10c939ea7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9E5536-1DC9-481D-AFD0-5A586997C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c751e4-d746-4cd1-b2ab-10c939ea7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601E14-2031-4D2D-96AF-1F36DE0CA57C}">
  <ds:schemaRefs>
    <ds:schemaRef ds:uri="http://schemas.microsoft.com/office/2006/metadata/properties"/>
    <ds:schemaRef ds:uri="http://schemas.microsoft.com/office/infopath/2007/PartnerControls"/>
    <ds:schemaRef ds:uri="728f56f1-ca71-46c9-9dc8-854cf18eb770"/>
    <ds:schemaRef ds:uri="9a2eb4af-03fc-4294-9afb-c76a210e7a6f"/>
  </ds:schemaRefs>
</ds:datastoreItem>
</file>

<file path=customXml/itemProps3.xml><?xml version="1.0" encoding="utf-8"?>
<ds:datastoreItem xmlns:ds="http://schemas.openxmlformats.org/officeDocument/2006/customXml" ds:itemID="{580EEFF7-0730-48C0-8E73-8268C8DA3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LP Mayo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Cecilia Meybel Olivares Olivares</cp:lastModifiedBy>
  <cp:revision>1</cp:revision>
  <dcterms:created xsi:type="dcterms:W3CDTF">2025-07-31T21:00:18Z</dcterms:created>
  <dcterms:modified xsi:type="dcterms:W3CDTF">2026-05-04T14:46:32Z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0x010100C9A4E15EB970E442936FE839B52DF925</vt:lpwstr>
  </property>
  <property fmtid="{D5CDD505-2E9C-101B-9397-08002B2CF9AE}" pid="3" name="MediaServiceImageTags">
    <vt:lpwstr/>
  </property>
</Properties>
</file>